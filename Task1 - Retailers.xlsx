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WORK\Data Analysis Course\"/>
    </mc:Choice>
  </mc:AlternateContent>
  <xr:revisionPtr revIDLastSave="0" documentId="13_ncr:1_{A6FC6F84-8B73-42E2-B6AE-44472939BDD2}" xr6:coauthVersionLast="47" xr6:coauthVersionMax="47" xr10:uidLastSave="{00000000-0000-0000-0000-000000000000}"/>
  <bookViews>
    <workbookView xWindow="-108" yWindow="-108" windowWidth="23256" windowHeight="12576" activeTab="4" xr2:uid="{3B1740FD-F91B-4827-AC2D-C3131BCFF515}"/>
  </bookViews>
  <sheets>
    <sheet name="Retailers" sheetId="2" r:id="rId1"/>
    <sheet name="Total Sales per retailers" sheetId="3" r:id="rId2"/>
    <sheet name="Units Sold per beverage brands" sheetId="13" r:id="rId3"/>
    <sheet name="Kpis" sheetId="14" r:id="rId4"/>
    <sheet name="DashBoard" sheetId="11" r:id="rId5"/>
  </sheets>
  <definedNames>
    <definedName name="ExternalData_1" localSheetId="0" hidden="1">'Retailers'!$A$1:$L$217</definedName>
    <definedName name="Slicer_Beverage_Brand">#N/A</definedName>
    <definedName name="Slicer_Regions">#N/A</definedName>
    <definedName name="Slicer_Retailer">#N/A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300120-B37A-4E5B-ACFA-C46D4C4C8C2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05C58D19-A152-4A7E-979D-86098E2C0D1A}" keepAlive="1" name="Query - Retailers" description="Connection to the 'Retailers' query in the workbook." type="5" refreshedVersion="8" background="1" saveData="1">
    <dbPr connection="Provider=Microsoft.Mashup.OleDb.1;Data Source=$Workbook$;Location=Retailers;Extended Properties=&quot;&quot;" command="SELECT * FROM [Retailers]"/>
  </connection>
  <connection id="3" xr16:uid="{17A35E4E-7653-4BFF-9708-AB369EF2D51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270E87FF-135E-40CD-94FA-CFA005543E7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365E7F6B-D0F7-48BD-B12F-DDA6E2B58A0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<sst xmlns="http://schemas.openxmlformats.org/spreadsheetml/2006/main" count="1113" uniqueCount="37">
  <si>
    <t>Retailer</t>
  </si>
  <si>
    <t>Contact</t>
  </si>
  <si>
    <t>Retailer ID</t>
  </si>
  <si>
    <t>Order Date</t>
  </si>
  <si>
    <t>Payment Date</t>
  </si>
  <si>
    <t>Regions</t>
  </si>
  <si>
    <t>State</t>
  </si>
  <si>
    <t>Beverage Brand</t>
  </si>
  <si>
    <t>Price per Unit</t>
  </si>
  <si>
    <t>Units Sold</t>
  </si>
  <si>
    <t>Days from order to pay</t>
  </si>
  <si>
    <t>Costco</t>
  </si>
  <si>
    <t>Ana</t>
  </si>
  <si>
    <t>West</t>
  </si>
  <si>
    <t>California</t>
  </si>
  <si>
    <t>Coca-Cola</t>
  </si>
  <si>
    <t>Diet Coke</t>
  </si>
  <si>
    <t>Sprite</t>
  </si>
  <si>
    <t>Fanta</t>
  </si>
  <si>
    <t>Powerade</t>
  </si>
  <si>
    <t>Dasani Water</t>
  </si>
  <si>
    <t>Target</t>
  </si>
  <si>
    <t>Stuart</t>
  </si>
  <si>
    <t>South</t>
  </si>
  <si>
    <t>Texas</t>
  </si>
  <si>
    <t>Walgreens</t>
  </si>
  <si>
    <t>Maria</t>
  </si>
  <si>
    <t>Grand Total</t>
  </si>
  <si>
    <t>Sum of Revenu</t>
  </si>
  <si>
    <t>Sum of Units Sold</t>
  </si>
  <si>
    <t>(All)</t>
  </si>
  <si>
    <t>Retailers</t>
  </si>
  <si>
    <t>Revenue</t>
  </si>
  <si>
    <t>Sum of Revenue</t>
  </si>
  <si>
    <t>Beverage Bramds</t>
  </si>
  <si>
    <t>Average of Days from order to pay</t>
  </si>
  <si>
    <r>
      <rPr>
        <b/>
        <sz val="36"/>
        <color theme="0"/>
        <rFont val="Corbel"/>
        <family val="2"/>
        <scheme val="minor"/>
      </rPr>
      <t>Retailers DashBoard</t>
    </r>
    <r>
      <rPr>
        <b/>
        <sz val="28"/>
        <color theme="0"/>
        <rFont val="Corbel"/>
        <family val="2"/>
        <scheme val="minor"/>
      </rPr>
      <t xml:space="preserve">
</t>
    </r>
    <r>
      <rPr>
        <b/>
        <sz val="18"/>
        <color theme="0"/>
        <rFont val="Corbel"/>
        <family val="2"/>
        <scheme val="minor"/>
      </rPr>
      <t>Retail Sales Performance Overview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</si>
</sst>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9" formatCode="#,##0,\ &quot;K&quot;"/>
  </numFmts>
  <fonts count="7" x14ac:knownFonts="1">
    <font>
      <sz val="11"/>
      <color theme="1"/>
      <name val="Corbel"/>
      <family val="2"/>
      <scheme val="minor"/>
    </font>
    <font>
      <sz val="11"/>
      <color theme="1"/>
      <name val="Segoe Script"/>
      <family val="4"/>
    </font>
    <font>
      <b/>
      <sz val="28"/>
      <color theme="0"/>
      <name val="Corbel"/>
      <family val="2"/>
      <scheme val="minor"/>
    </font>
    <font>
      <b/>
      <sz val="36"/>
      <color theme="0"/>
      <name val="Corbel"/>
      <family val="2"/>
      <scheme val="minor"/>
    </font>
    <font>
      <sz val="11"/>
      <color theme="1"/>
      <name val="Calibri"/>
      <family val="2"/>
    </font>
    <font>
      <b/>
      <sz val="18"/>
      <color theme="0"/>
      <name val="Corbel"/>
      <family val="2"/>
      <scheme val="minor"/>
    </font>
    <font>
      <sz val="12"/>
      <color theme="1"/>
      <name val="Calibri"/>
      <family val="2"/>
    </font>
  </fonts>
  <fills count="6">
    <fill>
      <patternFill patternType="none"/>
    </fill>
    <fill>
      <patternFill patternType="gray125"/>
    </fill>
    <fill>
      <patternFill patternType="solid">
        <fgColor theme="2" tint="-0.499984740745262"/>
        <bgColor indexed="64"/>
      </patternFill>
    </fill>
    <fill>
      <patternFill patternType="solid">
        <fgColor theme="8" tint="0.79998168889431442"/>
        <bgColor indexed="64"/>
      </patternFill>
    </fill>
    <fill>
      <patternFill patternType="solid">
        <fgColor rgb="FF0E0656"/>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0" fillId="2" borderId="0" xfId="0" applyFill="1"/>
    <xf numFmtId="0" fontId="0" fillId="0" borderId="0" xfId="0" applyAlignment="1">
      <alignment horizontal="center" vertical="center"/>
    </xf>
    <xf numFmtId="164" fontId="0" fillId="0" borderId="0" xfId="0" applyNumberFormat="1" applyAlignment="1">
      <alignment horizontal="center" vertical="center"/>
    </xf>
    <xf numFmtId="0" fontId="0" fillId="5" borderId="0" xfId="0" applyFill="1"/>
    <xf numFmtId="0" fontId="2" fillId="4" borderId="0" xfId="0" applyFont="1" applyFill="1" applyAlignment="1">
      <alignment horizontal="center" vertical="center"/>
    </xf>
    <xf numFmtId="0" fontId="4" fillId="0" borderId="0" xfId="0" applyFont="1"/>
    <xf numFmtId="0" fontId="2" fillId="4" borderId="0" xfId="0" applyFont="1" applyFill="1" applyAlignment="1">
      <alignment horizontal="center" vertical="center" wrapText="1"/>
    </xf>
    <xf numFmtId="0" fontId="4" fillId="3" borderId="0" xfId="0" applyFont="1" applyFill="1"/>
    <xf numFmtId="0" fontId="4" fillId="3" borderId="0" xfId="0" applyFont="1" applyFill="1" applyAlignment="1">
      <alignment horizontal="left"/>
    </xf>
    <xf numFmtId="165" fontId="4" fillId="3" borderId="0" xfId="0" applyNumberFormat="1" applyFont="1" applyFill="1"/>
    <xf numFmtId="3" fontId="4" fillId="3" borderId="0" xfId="0" applyNumberFormat="1" applyFont="1" applyFill="1"/>
    <xf numFmtId="0" fontId="4" fillId="0" borderId="0" xfId="0" applyFont="1" applyAlignment="1">
      <alignment horizontal="center" vertical="center"/>
    </xf>
    <xf numFmtId="14"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6" fillId="0" borderId="0" xfId="0" applyFont="1"/>
    <xf numFmtId="44" fontId="6" fillId="0" borderId="0" xfId="0" applyNumberFormat="1" applyFont="1"/>
    <xf numFmtId="169" fontId="6" fillId="0" borderId="0" xfId="0" applyNumberFormat="1" applyFont="1"/>
    <xf numFmtId="3" fontId="6" fillId="0" borderId="0" xfId="0" applyNumberFormat="1" applyFont="1"/>
  </cellXfs>
  <cellStyles count="1">
    <cellStyle name="Normal" xfId="0" builtinId="0"/>
  </cellStyles>
  <dxfs count="95">
    <dxf>
      <font>
        <sz val="12"/>
      </font>
    </dxf>
    <dxf>
      <font>
        <sz val="12"/>
      </font>
    </dxf>
    <dxf>
      <font>
        <sz val="12"/>
      </font>
    </dxf>
    <dxf>
      <font>
        <strike val="0"/>
        <outline val="0"/>
        <shadow val="0"/>
        <u val="none"/>
        <vertAlign val="baseline"/>
        <sz val="11"/>
        <color theme="1"/>
        <name val="Calibri"/>
        <family val="2"/>
        <scheme val="none"/>
      </font>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164" formatCode="&quot;$&quot;#,##0.00"/>
      <alignment horizontal="center" vertical="center" textRotation="0" wrapText="0" indent="0" justifyLastLine="0" shrinkToFit="0" readingOrder="0"/>
    </dxf>
    <dxf>
      <font>
        <strike val="0"/>
        <outline val="0"/>
        <shadow val="0"/>
        <u val="none"/>
        <vertAlign val="baseline"/>
        <sz val="11"/>
        <color theme="1"/>
        <name val="Calibri"/>
        <family val="2"/>
        <scheme val="none"/>
      </font>
      <alignment horizontal="center" vertical="center" textRotation="0" wrapText="0" indent="0" justifyLastLine="0" shrinkToFit="0" readingOrder="0"/>
    </dxf>
    <dxf>
      <font>
        <strike val="0"/>
        <outline val="0"/>
        <shadow val="0"/>
        <u val="none"/>
        <vertAlign val="baseline"/>
        <sz val="11"/>
        <color theme="1"/>
        <name val="Calibri"/>
        <family val="2"/>
        <scheme val="none"/>
      </font>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164" formatCode="&quot;$&quot;#,##0.00"/>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Calibri"/>
        <family val="2"/>
        <scheme val="none"/>
      </font>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Calibri"/>
        <family val="2"/>
        <scheme val="none"/>
      </font>
      <numFmt numFmtId="0" formatCode="General"/>
      <alignment horizontal="center" vertical="center" textRotation="0" wrapText="0" indent="0" justifyLastLine="0" shrinkToFit="0" readingOrder="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9" formatCode="#,##0,\ &quot;K&quot;"/>
    </dxf>
    <dxf>
      <numFmt numFmtId="34" formatCode="_(&quot;$&quot;* #,##0.00_);_(&quot;$&quot;* \(#,##0.00\);_(&quot;$&quot;* &quot;-&quot;??_);_(@_)"/>
    </dxf>
    <dxf>
      <font>
        <name val="Calibri"/>
        <scheme val="none"/>
      </font>
    </dxf>
    <dxf>
      <font>
        <name val="Calibri"/>
        <scheme val="none"/>
      </font>
    </dxf>
    <dxf>
      <font>
        <name val="Calibri"/>
        <scheme val="none"/>
      </font>
    </dxf>
    <dxf>
      <numFmt numFmtId="3" formatCode="#,##0"/>
    </dxf>
    <dxf>
      <numFmt numFmtId="2" formatCode="0.00"/>
    </dxf>
    <dxf>
      <numFmt numFmtId="2" formatCode="0.00"/>
    </dxf>
    <dxf>
      <numFmt numFmtId="34" formatCode="_(&quot;$&quot;* #,##0.00_);_(&quot;$&quot;* \(#,##0.00\);_(&quot;$&quot;* &quot;-&quot;??_);_(@_)"/>
    </dxf>
    <dxf>
      <font>
        <name val="Calibri"/>
        <scheme val="none"/>
      </font>
    </dxf>
    <dxf>
      <font>
        <name val="Calibri"/>
        <scheme val="none"/>
      </font>
    </dxf>
    <dxf>
      <font>
        <name val="Calibri"/>
        <scheme val="none"/>
      </font>
    </dxf>
    <dxf>
      <numFmt numFmtId="3" formatCode="#,##0"/>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numFmt numFmtId="34" formatCode="_(&quot;$&quot;* #,##0.00_);_(&quot;$&quot;* \(#,##0.00\);_(&quot;$&quot;* &quot;-&quot;??_);_(@_)"/>
    </dxf>
    <dxf>
      <font>
        <name val="Calibri"/>
        <scheme val="none"/>
      </font>
    </dxf>
    <dxf>
      <font>
        <name val="Calibri"/>
        <scheme val="none"/>
      </font>
    </dxf>
    <dxf>
      <font>
        <name val="Calibri"/>
        <scheme val="none"/>
      </font>
    </dxf>
    <dxf>
      <numFmt numFmtId="3" formatCode="#,##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numFmt numFmtId="34" formatCode="_(&quot;$&quot;* #,##0.00_);_(&quot;$&quot;* \(#,##0.00\);_(&quot;$&quot;* &quot;-&quot;??_);_(@_)"/>
    </dxf>
    <dxf>
      <font>
        <name val="Calibri"/>
        <scheme val="none"/>
      </font>
    </dxf>
    <dxf>
      <font>
        <name val="Calibri"/>
        <scheme val="none"/>
      </font>
    </dxf>
    <dxf>
      <font>
        <name val="Calibri"/>
        <scheme val="none"/>
      </font>
    </dxf>
    <dxf>
      <numFmt numFmtId="3" formatCode="#,##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numFmt numFmtId="3" formatCode="#,##0"/>
    </dxf>
    <dxf>
      <font>
        <name val="Calibri"/>
        <scheme val="none"/>
      </font>
    </dxf>
    <dxf>
      <font>
        <name val="Calibri"/>
        <scheme val="none"/>
      </font>
    </dxf>
    <dxf>
      <font>
        <name val="Calibri"/>
        <scheme val="none"/>
      </font>
    </dxf>
    <dxf>
      <numFmt numFmtId="34" formatCode="_(&quot;$&quot;* #,##0.00_);_(&quot;$&quot;* \(#,##0.00\);_(&quot;$&quot;* &quot;-&quot;??_);_(@_)"/>
    </dxf>
    <dxf>
      <alignment horizontal="center" vertical="center" textRotation="0" wrapText="0" indent="0" justifyLastLine="0" shrinkToFit="0" readingOrder="0"/>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s>
  <tableStyles count="0" defaultTableStyle="TableStyleMedium2" defaultPivotStyle="PivotStyleLight16"/>
  <colors>
    <mruColors>
      <color rgb="FF0E0656"/>
      <color rgb="FF1007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[Task1 - Retailers.xlsx]Total Sales per retailers!PivotTable1</c:name>
    <c:fmtId val="0"/>
  </c:pivotSource>
  <c:chart>
    <c:title>
      <c:tx>
        <c:rich>
          <a:bodyPr rot="0" spcFirstLastPara="1" vertOverflow="ellipsis" vert="horz" wrap="square" anchor="ctr" anchorCtr="1"/>
          <a:lstStyle/>
          <a:p>
            <a:pPr>
              <a:defRPr sz="1600" b="1" i="0" u="none" strike="noStrike" kern="1200" cap="none" spc="50" normalizeH="0" baseline="0">
                <a:solidFill>
                  <a:schemeClr val="tx1"/>
                </a:solidFill>
                <a:latin typeface="Calibri" panose="020F0502020204030204" pitchFamily="34" charset="0"/>
                <a:ea typeface="+mj-ea"/>
                <a:cs typeface="Calibri" panose="020F0502020204030204" pitchFamily="34" charset="0"/>
              </a:defRPr>
            </a:pPr>
            <a:r>
              <a:rPr lang="en-US" sz="1600">
                <a:latin typeface="Calibri" panose="020F0502020204030204" pitchFamily="34" charset="0"/>
                <a:cs typeface="Calibri" panose="020F0502020204030204" pitchFamily="34" charset="0"/>
              </a:rPr>
              <a:t>Total Revenue By Retailers</a:t>
            </a:r>
          </a:p>
        </c:rich>
      </c:tx>
      <c:layout>
        <c:manualLayout>
          <c:xMode val="edge"/>
          <c:yMode val="edge"/>
          <c:x val="0.32179264007288344"/>
          <c:y val="3.5371313879882654E-2"/>
        </c:manualLayout>
      </c:layout>
      <c:overlay val="0"/>
      <c:spPr>
        <a:noFill/>
        <a:ln>
          <a:noFill/>
        </a:ln>
        <a:effectLst/>
      </c:spPr>
    </c:title>
    <c:autoTitleDeleted val="0"/>
    <c:pivotFmts>
      <c:pivotFmt>
        <c:idx val="0"/>
        <c:spPr>
          <a:solidFill>
            <a:schemeClr val="accent5"/>
          </a:solidFill>
          <a:ln>
            <a:noFill/>
          </a:ln>
          <a:effectLst/>
        </c:spPr>
        <c:marker>
          <c:symbol val="circle"/>
          <c:size val="6"/>
          <c:spPr>
            <a:solidFill>
              <a:schemeClr val="accent5"/>
            </a:solidFill>
            <a:ln w="9525" cap="flat" cmpd="sng" algn="ctr">
              <a:solidFill>
                <a:schemeClr val="accent5"/>
              </a:solidFill>
              <a:prstDash val="solid"/>
              <a:round/>
            </a:ln>
            <a:effectLst/>
          </c:spPr>
        </c:marker>
        <c:dLbl>
          <c:idx val="0"/>
          <c:spPr>
            <a:solidFill>
              <a:srgbClr val="2C2C2C">
                <a:lumMod val="50000"/>
                <a:lumOff val="50000"/>
              </a:srgb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marker>
          <c:symbol val="none"/>
        </c:marker>
        <c:dLbl>
          <c:idx val="0"/>
          <c:spPr>
            <a:solidFill>
              <a:srgbClr val="2C2C2C">
                <a:lumMod val="50000"/>
                <a:lumOff val="50000"/>
              </a:srgb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5"/>
          </a:solidFill>
          <a:ln>
            <a:noFill/>
          </a:ln>
          <a:effectLst/>
        </c:spPr>
        <c:marker>
          <c:symbol val="none"/>
        </c:marker>
        <c:dLbl>
          <c:idx val="0"/>
          <c:spPr>
            <a:solidFill>
              <a:srgbClr val="2C2C2C">
                <a:lumMod val="50000"/>
                <a:lumOff val="50000"/>
              </a:srgb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5"/>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5"/>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5"/>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5"/>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1024363324877279"/>
          <c:y val="0.2137662961882851"/>
          <c:w val="0.58143957298163496"/>
          <c:h val="0.6571569662039668"/>
        </c:manualLayout>
      </c:layout>
      <c:barChart>
        <c:barDir val="col"/>
        <c:grouping val="clustered"/>
        <c:varyColors val="0"/>
        <c:ser>
          <c:idx val="0"/>
          <c:order val="0"/>
          <c:tx>
            <c:strRef>
              <c:f>'Total Sales per retailers'!$B$1</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8696-4DB6-AB81-FE557AFC79EE}"/>
              </c:ext>
            </c:extLst>
          </c:dPt>
          <c:dPt>
            <c:idx val="1"/>
            <c:invertIfNegative val="0"/>
            <c:bubble3D val="0"/>
            <c:extLst>
              <c:ext xmlns:c16="http://schemas.microsoft.com/office/drawing/2014/chart" uri="{C3380CC4-5D6E-409C-BE32-E72D297353CC}">
                <c16:uniqueId val="{00000005-8696-4DB6-AB81-FE557AFC79EE}"/>
              </c:ext>
            </c:extLst>
          </c:dPt>
          <c:dPt>
            <c:idx val="2"/>
            <c:invertIfNegative val="0"/>
            <c:bubble3D val="0"/>
            <c:extLst>
              <c:ext xmlns:c16="http://schemas.microsoft.com/office/drawing/2014/chart" uri="{C3380CC4-5D6E-409C-BE32-E72D297353CC}">
                <c16:uniqueId val="{00000006-8696-4DB6-AB81-FE557AFC79EE}"/>
              </c:ext>
            </c:extLst>
          </c:dPt>
          <c:dLbls>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'Total Sales per retailers'!$A$2:$A$5</c:f>
              <c:strCache>
                <c:ptCount val="3"/>
                <c:pt idx="0">
                  <c:v>Costco</c:v>
                </c:pt>
                <c:pt idx="1">
                  <c:v>Walgreens</c:v>
                </c:pt>
                <c:pt idx="2">
                  <c:v>Target</c:v>
                </c:pt>
              </c:strCache>
            </c:strRef>
          </c:cat>
          <c:val>
            <c:numRef>
              <c:f>'Total Sales per retailers'!$B$2:$B$5</c:f>
              <c:numCache>
                <c:formatCode>"$"#,##0</c:formatCode>
                <c:ptCount val="3"/>
                <c:pt idx="0">
                  <c:v>331750</c:v>
                </c:pt>
                <c:pt idx="1">
                  <c:v>250650</c:v>
                </c:pt>
                <c:pt idx="2">
                  <c:v>238850</c:v>
                </c:pt>
              </c:numCache>
            </c:numRef>
          </c:val>
          <c:extLst>
            <c:ext xmlns:c16="http://schemas.microsoft.com/office/drawing/2014/chart" uri="{C3380CC4-5D6E-409C-BE32-E72D297353CC}">
              <c16:uniqueId val="{00000007-8696-4DB6-AB81-FE557AFC79EE}"/>
            </c:ext>
          </c:extLst>
        </c:ser>
        <c:dLbls>
          <c:dLblPos val="outEnd"/>
          <c:showLegendKey val="0"/>
          <c:showVal val="1"/>
          <c:showCatName val="0"/>
          <c:showSerName val="0"/>
          <c:showPercent val="0"/>
          <c:showBubbleSize val="0"/>
        </c:dLbls>
        <c:gapWidth val="80"/>
        <c:overlap val="25"/>
        <c:axId val="1172816943"/>
        <c:axId val="1172802063"/>
      </c:barChart>
      <c:catAx>
        <c:axId val="117281694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1100" b="1" i="0" u="none" strike="noStrike" kern="1200" cap="none" spc="20" normalizeH="0" baseline="0">
                <a:solidFill>
                  <a:schemeClr val="tx1"/>
                </a:solidFill>
                <a:latin typeface="Calibri" panose="020F0502020204030204" pitchFamily="34" charset="0"/>
                <a:ea typeface="+mn-ea"/>
                <a:cs typeface="Calibri" panose="020F0502020204030204" pitchFamily="34" charset="0"/>
              </a:defRPr>
            </a:pPr>
            <a:endParaRPr lang="en-US"/>
          </a:p>
        </c:txPr>
        <c:crossAx val="1172802063"/>
        <c:crosses val="autoZero"/>
        <c:auto val="1"/>
        <c:lblAlgn val="ctr"/>
        <c:lblOffset val="100"/>
        <c:noMultiLvlLbl val="0"/>
      </c:catAx>
      <c:valAx>
        <c:axId val="1172802063"/>
        <c:scaling>
          <c:orientation val="minMax"/>
        </c:scaling>
        <c:delete val="1"/>
        <c:axPos val="l"/>
        <c:majorGridlines>
          <c:spPr>
            <a:ln w="9525" cap="flat" cmpd="sng" algn="ctr">
              <a:solidFill>
                <a:schemeClr val="tx1">
                  <a:lumMod val="5000"/>
                  <a:lumOff val="95000"/>
                </a:schemeClr>
              </a:solidFill>
              <a:prstDash val="solid"/>
              <a:round/>
            </a:ln>
            <a:effectLst/>
          </c:spPr>
        </c:majorGridlines>
        <c:numFmt formatCode="&quot;$&quot;#,##0" sourceLinked="1"/>
        <c:majorTickMark val="none"/>
        <c:minorTickMark val="none"/>
        <c:tickLblPos val="nextTo"/>
        <c:crossAx val="1172816943"/>
        <c:crosses val="autoZero"/>
        <c:crossBetween val="between"/>
      </c:valAx>
    </c:plotArea>
    <c:plotVisOnly val="1"/>
    <c:dispBlanksAs val="gap"/>
    <c:showDLblsOverMax val="0"/>
    <c:extLst/>
  </c:chart>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[Task1 - Retailers.xlsx]Units Sold per beverage brands!PivotTable1</c:name>
    <c:fmtId val="1"/>
  </c:pivotSource>
  <c:chart>
    <c:title>
      <c:tx>
        <c:rich>
          <a:bodyPr rot="0" spcFirstLastPara="1" vertOverflow="ellipsis" vert="horz" wrap="square" anchor="ctr" anchorCtr="1"/>
          <a:lstStyle/>
          <a:p>
            <a:pPr>
              <a:defRPr sz="20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2000" b="1">
                <a:solidFill>
                  <a:schemeClr val="tx1"/>
                </a:solidFill>
                <a:latin typeface="Calibri" panose="020F0502020204030204" pitchFamily="34" charset="0"/>
                <a:cs typeface="Calibri" panose="020F0502020204030204" pitchFamily="34" charset="0"/>
              </a:rPr>
              <a:t>Units Sold by beverage brands</a:t>
            </a:r>
            <a:endParaRPr lang="en-US" sz="2000" b="1" baseline="0">
              <a:solidFill>
                <a:schemeClr val="tx1"/>
              </a:solidFill>
              <a:latin typeface="Calibri" panose="020F0502020204030204" pitchFamily="34" charset="0"/>
              <a:cs typeface="Calibri" panose="020F0502020204030204" pitchFamily="34" charset="0"/>
            </a:endParaRPr>
          </a:p>
        </c:rich>
      </c:tx>
      <c:layout>
        <c:manualLayout>
          <c:xMode val="edge"/>
          <c:yMode val="edge"/>
          <c:x val="0.22483049660725846"/>
          <c:y val="2.2459287567524314E-2"/>
        </c:manualLayout>
      </c:layout>
      <c:overlay val="0"/>
      <c:spPr>
        <a:noFill/>
        <a:ln>
          <a:noFill/>
        </a:ln>
        <a:effectLst/>
      </c:sp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per beverage brands'!$B$3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per beverage brands'!$A$4:$A$10</c:f>
              <c:strCache>
                <c:ptCount val="6"/>
                <c:pt idx="0">
                  <c:v>Coca-Cola</c:v>
                </c:pt>
                <c:pt idx="1">
                  <c:v>Diet Coke</c:v>
                </c:pt>
                <c:pt idx="2">
                  <c:v>Sprite</c:v>
                </c:pt>
                <c:pt idx="3">
                  <c:v>Dasani Water</c:v>
                </c:pt>
                <c:pt idx="4">
                  <c:v>Fanta</c:v>
                </c:pt>
                <c:pt idx="5">
                  <c:v>Powerade</c:v>
                </c:pt>
              </c:strCache>
            </c:strRef>
          </c:cat>
          <c:val>
            <c:numRef>
              <c:f>'Units Sold per beverage brands'!$B$4:$B$10</c:f>
              <c:numCache>
                <c:formatCode>#,##0</c:formatCode>
                <c:ptCount val="6"/>
                <c:pt idx="0">
                  <c:v>316000</c:v>
                </c:pt>
                <c:pt idx="1">
                  <c:v>297000</c:v>
                </c:pt>
                <c:pt idx="2">
                  <c:v>272500</c:v>
                </c:pt>
                <c:pt idx="3">
                  <c:v>271750</c:v>
                </c:pt>
                <c:pt idx="4">
                  <c:v>233500</c:v>
                </c:pt>
                <c:pt idx="5">
                  <c:v>212500</c:v>
                </c:pt>
              </c:numCache>
            </c:numRef>
          </c:val>
          <c:extLst>
            <c:ext xmlns:c16="http://schemas.microsoft.com/office/drawing/2014/chart" uri="{C3380CC4-5D6E-409C-BE32-E72D297353CC}">
              <c16:uniqueId val="{00000001-D999-47FC-A7A4-CBDAD0DBFFB0}"/>
            </c:ext>
          </c:extLst>
        </c:ser>
        <c:dLbls>
          <c:dLblPos val="outEnd"/>
          <c:showLegendKey val="0"/>
          <c:showVal val="1"/>
          <c:showCatName val="0"/>
          <c:showSerName val="0"/>
          <c:showPercent val="0"/>
          <c:showBubbleSize val="0"/>
        </c:dLbls>
        <c:gapWidth val="182"/>
        <c:axId val="538174031"/>
        <c:axId val="538175951"/>
      </c:barChart>
      <c:catAx>
        <c:axId val="53817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538175951"/>
        <c:crosses val="autoZero"/>
        <c:auto val="1"/>
        <c:lblAlgn val="ctr"/>
        <c:lblOffset val="100"/>
        <c:noMultiLvlLbl val="0"/>
      </c:catAx>
      <c:valAx>
        <c:axId val="538175951"/>
        <c:scaling>
          <c:orientation val="minMax"/>
        </c:scaling>
        <c:delete val="1"/>
        <c:axPos val="b"/>
        <c:numFmt formatCode="#,##0" sourceLinked="1"/>
        <c:majorTickMark val="none"/>
        <c:minorTickMark val="none"/>
        <c:tickLblPos val="nextTo"/>
        <c:crossAx val="538174031"/>
        <c:crosses val="autoZero"/>
        <c:crossBetween val="between"/>
      </c:valAx>
      <c:spPr>
        <a:noFill/>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[Task1 - Retailers.xlsx]Units Sold per beverage brands!PivotTable1</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2000" b="1">
                <a:solidFill>
                  <a:schemeClr val="tx1"/>
                </a:solidFill>
                <a:latin typeface="Calibri" panose="020F0502020204030204" pitchFamily="34" charset="0"/>
                <a:cs typeface="Calibri" panose="020F0502020204030204" pitchFamily="34" charset="0"/>
              </a:rPr>
              <a:t>Units Sold</a:t>
            </a:r>
            <a:r>
              <a:rPr lang="en-US" sz="2000" b="1" baseline="0">
                <a:solidFill>
                  <a:schemeClr val="tx1"/>
                </a:solidFill>
                <a:latin typeface="Calibri" panose="020F0502020204030204" pitchFamily="34" charset="0"/>
                <a:cs typeface="Calibri" panose="020F0502020204030204" pitchFamily="34" charset="0"/>
              </a:rPr>
              <a:t> By Beverage Brands</a:t>
            </a:r>
          </a:p>
        </c:rich>
      </c:tx>
      <c:layout>
        <c:manualLayout>
          <c:xMode val="edge"/>
          <c:yMode val="edge"/>
          <c:x val="0.22483049660725846"/>
          <c:y val="2.2459287567524314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'Units Sold per beverage brands'!$B$3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'Units Sold per beverage brands'!$A$4:$A$10</c:f>
              <c:strCache>
                <c:ptCount val="6"/>
                <c:pt idx="0">
                  <c:v>Coca-Cola</c:v>
                </c:pt>
                <c:pt idx="1">
                  <c:v>Diet Coke</c:v>
                </c:pt>
                <c:pt idx="2">
                  <c:v>Sprite</c:v>
                </c:pt>
                <c:pt idx="3">
                  <c:v>Dasani Water</c:v>
                </c:pt>
                <c:pt idx="4">
                  <c:v>Fanta</c:v>
                </c:pt>
                <c:pt idx="5">
                  <c:v>Powerade</c:v>
                </c:pt>
              </c:strCache>
            </c:strRef>
          </c:cat>
          <c:val>
            <c:numRef>
              <c:f>'Units Sold per beverage brands'!$B$4:$B$10</c:f>
              <c:numCache>
                <c:formatCode>#,##0</c:formatCode>
                <c:ptCount val="6"/>
                <c:pt idx="0">
                  <c:v>316000</c:v>
                </c:pt>
                <c:pt idx="1">
                  <c:v>297000</c:v>
                </c:pt>
                <c:pt idx="2">
                  <c:v>272500</c:v>
                </c:pt>
                <c:pt idx="3">
                  <c:v>271750</c:v>
                </c:pt>
                <c:pt idx="4">
                  <c:v>233500</c:v>
                </c:pt>
                <c:pt idx="5">
                  <c:v>212500</c:v>
                </c:pt>
              </c:numCache>
            </c:numRef>
          </c:val>
          <c:extLst>
            <c:ext xmlns:c16="http://schemas.microsoft.com/office/drawing/2014/chart" uri="{C3380CC4-5D6E-409C-BE32-E72D297353CC}">
              <c16:uniqueId val="{00000000-C460-40EE-B27A-7A653DC21713}"/>
            </c:ext>
          </c:extLst>
        </c:ser>
        <c:dLbls>
          <c:dLblPos val="outEnd"/>
          <c:showLegendKey val="0"/>
          <c:showVal val="1"/>
          <c:showCatName val="0"/>
          <c:showSerName val="0"/>
          <c:showPercent val="0"/>
          <c:showBubbleSize val="0"/>
        </c:dLbls>
        <c:gapWidth val="182"/>
        <c:axId val="538174031"/>
        <c:axId val="538175951"/>
      </c:barChart>
      <c:catAx>
        <c:axId val="53817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538175951"/>
        <c:crosses val="autoZero"/>
        <c:auto val="1"/>
        <c:lblAlgn val="ctr"/>
        <c:lblOffset val="100"/>
        <c:noMultiLvlLbl val="0"/>
      </c:catAx>
      <c:valAx>
        <c:axId val="538175951"/>
        <c:scaling>
          <c:orientation val="minMax"/>
        </c:scaling>
        <c:delete val="1"/>
        <c:axPos val="b"/>
        <c:numFmt formatCode="#,##0" sourceLinked="1"/>
        <c:majorTickMark val="none"/>
        <c:minorTickMark val="none"/>
        <c:tickLblPos val="nextTo"/>
        <c:crossAx val="53817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[Task1 - Retailers.xlsx]Total Sales per retailers!PivotTable1</c:name>
    <c:fmtId val="61"/>
  </c:pivotSource>
  <c:chart>
    <c:title>
      <c:tx>
        <c:rich>
          <a:bodyPr rot="0" spcFirstLastPara="1" vertOverflow="ellipsis" vert="horz" wrap="square" anchor="ctr" anchorCtr="1"/>
          <a:lstStyle/>
          <a:p>
            <a:pPr>
              <a:defRPr sz="1600" b="1" i="0" u="none" strike="noStrike" kern="1200" cap="none" spc="50" normalizeH="0" baseline="0">
                <a:solidFill>
                  <a:schemeClr val="tx1"/>
                </a:solidFill>
                <a:latin typeface="Calibri" panose="020F0502020204030204" pitchFamily="34" charset="0"/>
                <a:ea typeface="+mj-ea"/>
                <a:cs typeface="Calibri" panose="020F0502020204030204" pitchFamily="34" charset="0"/>
              </a:defRPr>
            </a:pPr>
            <a:r>
              <a:rPr lang="en-US" sz="1600">
                <a:latin typeface="Calibri" panose="020F0502020204030204" pitchFamily="34" charset="0"/>
                <a:cs typeface="Calibri" panose="020F0502020204030204" pitchFamily="34" charset="0"/>
              </a:rPr>
              <a:t>Total Revenue By Retailers</a:t>
            </a:r>
          </a:p>
        </c:rich>
      </c:tx>
      <c:layout>
        <c:manualLayout>
          <c:xMode val="edge"/>
          <c:yMode val="edge"/>
          <c:x val="0.32179264007288344"/>
          <c:y val="3.5371313879882654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solidFill>
              <a:latin typeface="Calibri" panose="020F0502020204030204" pitchFamily="34" charset="0"/>
              <a:ea typeface="+mj-ea"/>
              <a:cs typeface="Calibri" panose="020F0502020204030204" pitchFamily="34" charset="0"/>
            </a:defRPr>
          </a:pPr>
          <a:endParaRPr lang="en-US"/>
        </a:p>
      </c:txPr>
    </c:title>
    <c:autoTitleDeleted val="0"/>
    <c:pivotFmts>
      <c:pivotFmt>
        <c:idx val="0"/>
        <c:spPr>
          <a:solidFill>
            <a:schemeClr val="accent5"/>
          </a:solidFill>
          <a:ln>
            <a:noFill/>
          </a:ln>
          <a:effectLst/>
        </c:spPr>
        <c:marker>
          <c:symbol val="circle"/>
          <c:size val="6"/>
          <c:spPr>
            <a:solidFill>
              <a:schemeClr val="accent5"/>
            </a:solidFill>
            <a:ln w="9525" cap="flat" cmpd="sng" algn="ctr">
              <a:solidFill>
                <a:schemeClr val="accent5"/>
              </a:solidFill>
              <a:prstDash val="solid"/>
              <a:round/>
            </a:ln>
            <a:effectLst/>
          </c:spPr>
        </c:marker>
        <c:dLbl>
          <c:idx val="0"/>
          <c:spPr>
            <a:solidFill>
              <a:srgbClr val="2C2C2C">
                <a:lumMod val="50000"/>
                <a:lumOff val="50000"/>
              </a:srgb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marker>
          <c:symbol val="none"/>
        </c:marker>
        <c:dLbl>
          <c:idx val="0"/>
          <c:spPr>
            <a:solidFill>
              <a:srgbClr val="2C2C2C">
                <a:lumMod val="50000"/>
                <a:lumOff val="50000"/>
              </a:srgb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c:spPr>
        <c:marker>
          <c:symbol val="none"/>
        </c:marker>
        <c:dLbl>
          <c:idx val="0"/>
          <c:spPr>
            <a:solidFill>
              <a:srgbClr val="2C2C2C">
                <a:lumMod val="50000"/>
                <a:lumOff val="50000"/>
              </a:srgb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024363324877279"/>
          <c:y val="0.2137662961882851"/>
          <c:w val="0.58143957298163496"/>
          <c:h val="0.6571569662039668"/>
        </c:manualLayout>
      </c:layout>
      <c:barChart>
        <c:barDir val="col"/>
        <c:grouping val="clustered"/>
        <c:varyColors val="0"/>
        <c:ser>
          <c:idx val="0"/>
          <c:order val="0"/>
          <c:tx>
            <c:strRef>
              <c:f>'Total Sales per retailers'!$B$1</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C46C-4D56-8067-4C9489DADF44}"/>
              </c:ext>
            </c:extLst>
          </c:dPt>
          <c:dPt>
            <c:idx val="1"/>
            <c:invertIfNegative val="0"/>
            <c:bubble3D val="0"/>
            <c:extLst>
              <c:ext xmlns:c16="http://schemas.microsoft.com/office/drawing/2014/chart" uri="{C3380CC4-5D6E-409C-BE32-E72D297353CC}">
                <c16:uniqueId val="{00000006-C46C-4D56-8067-4C9489DADF44}"/>
              </c:ext>
            </c:extLst>
          </c:dPt>
          <c:dPt>
            <c:idx val="2"/>
            <c:invertIfNegative val="0"/>
            <c:bubble3D val="0"/>
            <c:extLst>
              <c:ext xmlns:c16="http://schemas.microsoft.com/office/drawing/2014/chart" uri="{C3380CC4-5D6E-409C-BE32-E72D297353CC}">
                <c16:uniqueId val="{00000007-C46C-4D56-8067-4C9489DADF44}"/>
              </c:ext>
            </c:extLst>
          </c:dPt>
          <c:dLbls>
            <c:spPr>
              <a:no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'Total Sales per retailers'!$A$2:$A$5</c:f>
              <c:strCache>
                <c:ptCount val="3"/>
                <c:pt idx="0">
                  <c:v>Costco</c:v>
                </c:pt>
                <c:pt idx="1">
                  <c:v>Walgreens</c:v>
                </c:pt>
                <c:pt idx="2">
                  <c:v>Target</c:v>
                </c:pt>
              </c:strCache>
            </c:strRef>
          </c:cat>
          <c:val>
            <c:numRef>
              <c:f>'Total Sales per retailers'!$B$2:$B$5</c:f>
              <c:numCache>
                <c:formatCode>"$"#,##0</c:formatCode>
                <c:ptCount val="3"/>
                <c:pt idx="0">
                  <c:v>331750</c:v>
                </c:pt>
                <c:pt idx="1">
                  <c:v>250650</c:v>
                </c:pt>
                <c:pt idx="2">
                  <c:v>238850</c:v>
                </c:pt>
              </c:numCache>
            </c:numRef>
          </c:val>
          <c:extLst>
            <c:ext xmlns:c16="http://schemas.microsoft.com/office/drawing/2014/chart" uri="{C3380CC4-5D6E-409C-BE32-E72D297353CC}">
              <c16:uniqueId val="{00000008-C46C-4D56-8067-4C9489DADF44}"/>
            </c:ext>
          </c:extLst>
        </c:ser>
        <c:dLbls>
          <c:dLblPos val="outEnd"/>
          <c:showLegendKey val="0"/>
          <c:showVal val="1"/>
          <c:showCatName val="0"/>
          <c:showSerName val="0"/>
          <c:showPercent val="0"/>
          <c:showBubbleSize val="0"/>
        </c:dLbls>
        <c:gapWidth val="80"/>
        <c:overlap val="25"/>
        <c:axId val="1172816943"/>
        <c:axId val="1172802063"/>
      </c:barChart>
      <c:catAx>
        <c:axId val="117281694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sz="1100" b="1" i="0" u="none" strike="noStrike" kern="1200" cap="none" spc="20" normalizeH="0" baseline="0">
                <a:solidFill>
                  <a:schemeClr val="tx1"/>
                </a:solidFill>
                <a:latin typeface="Calibri" panose="020F0502020204030204" pitchFamily="34" charset="0"/>
                <a:ea typeface="+mn-ea"/>
                <a:cs typeface="Calibri" panose="020F0502020204030204" pitchFamily="34" charset="0"/>
              </a:defRPr>
            </a:pPr>
            <a:endParaRPr lang="en-US"/>
          </a:p>
        </c:txPr>
        <c:crossAx val="1172802063"/>
        <c:crosses val="autoZero"/>
        <c:auto val="1"/>
        <c:lblAlgn val="ctr"/>
        <c:lblOffset val="100"/>
        <c:noMultiLvlLbl val="0"/>
      </c:catAx>
      <c:valAx>
        <c:axId val="1172802063"/>
        <c:scaling>
          <c:orientation val="minMax"/>
        </c:scaling>
        <c:delete val="1"/>
        <c:axPos val="l"/>
        <c:majorGridlines>
          <c:spPr>
            <a:ln w="9525" cap="flat" cmpd="sng" algn="ctr">
              <a:solidFill>
                <a:schemeClr val="tx1">
                  <a:lumMod val="5000"/>
                  <a:lumOff val="95000"/>
                </a:schemeClr>
              </a:solidFill>
              <a:prstDash val="solid"/>
              <a:round/>
            </a:ln>
            <a:effectLst/>
          </c:spPr>
        </c:majorGridlines>
        <c:numFmt formatCode="&quot;$&quot;#,##0" sourceLinked="1"/>
        <c:majorTickMark val="none"/>
        <c:minorTickMark val="none"/>
        <c:tickLblPos val="nextTo"/>
        <c:crossAx val="1172816943"/>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solidFill>
        <a:schemeClr val="tx1">
          <a:tint val="75000"/>
        </a:schemeClr>
      </a:solidFill>
      <a:prstDash val="solid"/>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6">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396240</xdr:colOff>
      <xdr:row>2</xdr:row>
      <xdr:rowOff>53340</xdr:rowOff>
    </xdr:from>
    <xdr:to>
      <xdr:col>12</xdr:col>
      <xdr:colOff>30480</xdr:colOff>
      <xdr:row>21</xdr:row>
      <xdr:rowOff>144780</xdr:rowOff>
    </xdr:to>
    <xdr:graphicFrame macro="">
      <xdr:nvGraphicFramePr>
        <xdr:cNvPr id="2" name="Chart 1">
          <a:extLst>
            <a:ext uri="{FF2B5EF4-FFF2-40B4-BE49-F238E27FC236}">
              <a16:creationId xmlns:a16="http://schemas.microsoft.com/office/drawing/2014/main" id="{903684E1-AA5C-3E40-C7C8-C97CA376E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339090</xdr:colOff>
      <xdr:row>1</xdr:row>
      <xdr:rowOff>7620</xdr:rowOff>
    </xdr:from>
    <xdr:to>
      <xdr:col>10</xdr:col>
      <xdr:colOff>220980</xdr:colOff>
      <xdr:row>28</xdr:row>
      <xdr:rowOff>83820</xdr:rowOff>
    </xdr:to>
    <xdr:graphicFrame macro="">
      <xdr:nvGraphicFramePr>
        <xdr:cNvPr id="3" name="Chart 2">
          <a:extLst>
            <a:ext uri="{FF2B5EF4-FFF2-40B4-BE49-F238E27FC236}">
              <a16:creationId xmlns:a16="http://schemas.microsoft.com/office/drawing/2014/main" id="{FB4D1E92-448D-83F4-8705-4A6175125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8468</xdr:colOff>
      <xdr:row>5</xdr:row>
      <xdr:rowOff>14392</xdr:rowOff>
    </xdr:from>
    <xdr:to>
      <xdr:col>25</xdr:col>
      <xdr:colOff>506314</xdr:colOff>
      <xdr:row>28</xdr:row>
      <xdr:rowOff>186266</xdr:rowOff>
    </xdr:to>
    <xdr:graphicFrame macro="">
      <xdr:nvGraphicFramePr>
        <xdr:cNvPr id="3" name="Chart 2">
          <a:extLst>
            <a:ext uri="{FF2B5EF4-FFF2-40B4-BE49-F238E27FC236}">
              <a16:creationId xmlns:a16="http://schemas.microsoft.com/office/drawing/2014/main" id="{569E8679-1330-424A-BBC9-0C70F8E04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22848</xdr:colOff>
      <xdr:row>5</xdr:row>
      <xdr:rowOff>16088</xdr:rowOff>
    </xdr:from>
    <xdr:to>
      <xdr:col>5</xdr:col>
      <xdr:colOff>194734</xdr:colOff>
      <xdr:row>9</xdr:row>
      <xdr:rowOff>160868</xdr:rowOff>
    </xdr:to>
    <xdr:sp macro="" textlink="">
      <xdr:nvSpPr>
        <xdr:cNvPr id="2" name="Rectangle 1">
          <a:extLst>
            <a:ext uri="{FF2B5EF4-FFF2-40B4-BE49-F238E27FC236}">
              <a16:creationId xmlns:a16="http://schemas.microsoft.com/office/drawing/2014/main" id="{5BCDAE47-AA2A-4CF6-DD2C-DD9103BE0A93}"/>
            </a:ext>
          </a:extLst>
        </xdr:cNvPr>
        <xdr:cNvSpPr/>
      </xdr:nvSpPr>
      <xdr:spPr>
        <a:xfrm>
          <a:off x="22848" y="871221"/>
          <a:ext cx="3219886" cy="957580"/>
        </a:xfrm>
        <a:prstGeom prst="rect">
          <a:avLst/>
        </a:prstGeom>
        <a:solidFill>
          <a:schemeClr val="bg1"/>
        </a:solidFill>
        <a:ln>
          <a:solidFill>
            <a:srgbClr val="0E065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tx1"/>
              </a:solidFill>
            </a:rPr>
            <a:t>Total Revenue</a:t>
          </a:r>
          <a:r>
            <a:rPr lang="en-US" sz="1100" b="0" i="0" u="none" strike="noStrike">
              <a:solidFill>
                <a:schemeClr val="tx1"/>
              </a:solidFill>
              <a:effectLst/>
              <a:latin typeface="+mn-lt"/>
              <a:ea typeface="+mn-ea"/>
              <a:cs typeface="+mn-cs"/>
            </a:rPr>
            <a:t>     </a:t>
          </a:r>
          <a:r>
            <a:rPr lang="en-US" sz="1100" b="0" i="0" u="none" strike="noStrike" baseline="0">
              <a:solidFill>
                <a:schemeClr val="tx1"/>
              </a:solidFill>
              <a:effectLst/>
              <a:latin typeface="+mn-lt"/>
              <a:ea typeface="+mn-ea"/>
              <a:cs typeface="+mn-cs"/>
            </a:rPr>
            <a:t>                                                  </a:t>
          </a:r>
          <a:r>
            <a:rPr lang="en-US" sz="1800" b="1" i="0" u="none" strike="noStrike">
              <a:solidFill>
                <a:schemeClr val="tx1"/>
              </a:solidFill>
              <a:effectLst/>
              <a:latin typeface="Calibri" panose="020F0502020204030204" pitchFamily="34" charset="0"/>
              <a:ea typeface="+mn-ea"/>
              <a:cs typeface="Calibri" panose="020F0502020204030204" pitchFamily="34" charset="0"/>
            </a:rPr>
            <a:t>$ </a:t>
          </a:r>
          <a:r>
            <a:rPr lang="en-US" sz="1100" b="0" i="0" u="none" strike="noStrike">
              <a:solidFill>
                <a:schemeClr val="tx1"/>
              </a:solidFill>
              <a:effectLst/>
              <a:latin typeface="Calibri" panose="020F0502020204030204" pitchFamily="34" charset="0"/>
              <a:ea typeface="+mn-ea"/>
              <a:cs typeface="Calibri" panose="020F0502020204030204" pitchFamily="34" charset="0"/>
            </a:rPr>
            <a:t>   </a:t>
          </a:r>
          <a:r>
            <a:rPr lang="en-US" sz="1800" b="1" i="0" u="none" strike="noStrike">
              <a:solidFill>
                <a:schemeClr val="tx1"/>
              </a:solidFill>
              <a:effectLst/>
              <a:latin typeface="Calibri" panose="020F0502020204030204" pitchFamily="34" charset="0"/>
              <a:ea typeface="+mn-ea"/>
              <a:cs typeface="Calibri" panose="020F0502020204030204" pitchFamily="34" charset="0"/>
            </a:rPr>
            <a:t>821,250.00</a:t>
          </a:r>
          <a:r>
            <a:rPr lang="en-US" sz="1100" b="0" i="0" u="none" strike="noStrike">
              <a:solidFill>
                <a:schemeClr val="tx1"/>
              </a:solidFill>
              <a:effectLst/>
              <a:latin typeface="Calibri" panose="020F0502020204030204" pitchFamily="34" charset="0"/>
              <a:ea typeface="+mn-ea"/>
              <a:cs typeface="Calibri" panose="020F0502020204030204" pitchFamily="34" charset="0"/>
            </a:rPr>
            <a:t> </a:t>
          </a:r>
          <a:endParaRPr lang="en-US" sz="18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5</xdr:col>
      <xdr:colOff>220134</xdr:colOff>
      <xdr:row>5</xdr:row>
      <xdr:rowOff>16088</xdr:rowOff>
    </xdr:from>
    <xdr:to>
      <xdr:col>10</xdr:col>
      <xdr:colOff>296333</xdr:colOff>
      <xdr:row>9</xdr:row>
      <xdr:rowOff>160868</xdr:rowOff>
    </xdr:to>
    <xdr:sp macro="" textlink="">
      <xdr:nvSpPr>
        <xdr:cNvPr id="8" name="Rectangle 7">
          <a:extLst>
            <a:ext uri="{FF2B5EF4-FFF2-40B4-BE49-F238E27FC236}">
              <a16:creationId xmlns:a16="http://schemas.microsoft.com/office/drawing/2014/main" id="{F6BB1508-84C9-4469-AE8C-0C94B8A20A2A}"/>
            </a:ext>
          </a:extLst>
        </xdr:cNvPr>
        <xdr:cNvSpPr/>
      </xdr:nvSpPr>
      <xdr:spPr>
        <a:xfrm>
          <a:off x="3268134" y="871221"/>
          <a:ext cx="3124199" cy="957580"/>
        </a:xfrm>
        <a:prstGeom prst="rect">
          <a:avLst/>
        </a:prstGeom>
        <a:solidFill>
          <a:schemeClr val="bg1"/>
        </a:solidFill>
        <a:ln>
          <a:solidFill>
            <a:srgbClr val="0E065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tx1"/>
              </a:solidFill>
            </a:rPr>
            <a:t>Total</a:t>
          </a:r>
          <a:r>
            <a:rPr lang="ar-EG" sz="1800" b="1" baseline="0">
              <a:solidFill>
                <a:schemeClr val="tx1"/>
              </a:solidFill>
            </a:rPr>
            <a:t> </a:t>
          </a:r>
          <a:r>
            <a:rPr lang="en-US" sz="1800" b="1" baseline="0">
              <a:solidFill>
                <a:schemeClr val="tx1"/>
              </a:solidFill>
            </a:rPr>
            <a:t>Un</a:t>
          </a:r>
          <a:r>
            <a:rPr lang="en-US" sz="1800" b="1">
              <a:solidFill>
                <a:schemeClr val="tx1"/>
              </a:solidFill>
            </a:rPr>
            <a:t>tis Sold</a:t>
          </a:r>
        </a:p>
        <a:p>
          <a:pPr algn="ctr"/>
          <a:r>
            <a:rPr lang="en-US" sz="1800" b="1" i="0" u="none" strike="noStrike">
              <a:solidFill>
                <a:schemeClr val="tx1"/>
              </a:solidFill>
              <a:effectLst/>
              <a:latin typeface="+mn-lt"/>
              <a:ea typeface="+mn-ea"/>
              <a:cs typeface="+mn-cs"/>
            </a:rPr>
            <a:t> </a:t>
          </a:r>
          <a:r>
            <a:rPr lang="en-US" sz="1100" b="0" i="0" u="none" strike="noStrike">
              <a:solidFill>
                <a:schemeClr val="tx1"/>
              </a:solidFill>
              <a:effectLst/>
              <a:latin typeface="+mn-lt"/>
              <a:ea typeface="+mn-ea"/>
              <a:cs typeface="+mn-cs"/>
            </a:rPr>
            <a:t>   </a:t>
          </a:r>
          <a:r>
            <a:rPr lang="en-US" sz="1800" b="1" i="0" u="none" strike="noStrike">
              <a:solidFill>
                <a:schemeClr val="tx1"/>
              </a:solidFill>
              <a:effectLst/>
              <a:latin typeface="Calibri" panose="020F0502020204030204" pitchFamily="34" charset="0"/>
              <a:cs typeface="Calibri" panose="020F0502020204030204" pitchFamily="34" charset="0"/>
            </a:rPr>
            <a:t>1,603 K </a:t>
          </a:r>
          <a:endParaRPr lang="en-US" sz="18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10</xdr:col>
      <xdr:colOff>330194</xdr:colOff>
      <xdr:row>5</xdr:row>
      <xdr:rowOff>16087</xdr:rowOff>
    </xdr:from>
    <xdr:to>
      <xdr:col>15</xdr:col>
      <xdr:colOff>575733</xdr:colOff>
      <xdr:row>9</xdr:row>
      <xdr:rowOff>177800</xdr:rowOff>
    </xdr:to>
    <xdr:sp macro="" textlink="">
      <xdr:nvSpPr>
        <xdr:cNvPr id="9" name="Rectangle 8">
          <a:extLst>
            <a:ext uri="{FF2B5EF4-FFF2-40B4-BE49-F238E27FC236}">
              <a16:creationId xmlns:a16="http://schemas.microsoft.com/office/drawing/2014/main" id="{8D98FD3B-DB06-4221-BF5F-FCDC2D4DC71B}"/>
            </a:ext>
          </a:extLst>
        </xdr:cNvPr>
        <xdr:cNvSpPr/>
      </xdr:nvSpPr>
      <xdr:spPr>
        <a:xfrm>
          <a:off x="6426194" y="871220"/>
          <a:ext cx="3293539" cy="974513"/>
        </a:xfrm>
        <a:prstGeom prst="rect">
          <a:avLst/>
        </a:prstGeom>
        <a:solidFill>
          <a:schemeClr val="bg1"/>
        </a:solidFill>
        <a:ln>
          <a:solidFill>
            <a:srgbClr val="0E065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tx1"/>
              </a:solidFill>
            </a:rPr>
            <a:t>Average</a:t>
          </a:r>
          <a:r>
            <a:rPr lang="en-US" sz="1800" b="1" baseline="0">
              <a:solidFill>
                <a:schemeClr val="tx1"/>
              </a:solidFill>
            </a:rPr>
            <a:t> Days To Pay                      </a:t>
          </a:r>
          <a:r>
            <a:rPr lang="en-US" sz="1100" b="0" i="0" u="none" strike="noStrike">
              <a:solidFill>
                <a:schemeClr val="tx1"/>
              </a:solidFill>
              <a:effectLst/>
              <a:latin typeface="+mn-lt"/>
              <a:ea typeface="+mn-ea"/>
              <a:cs typeface="+mn-cs"/>
            </a:rPr>
            <a:t> </a:t>
          </a:r>
          <a:r>
            <a:rPr lang="en-US" sz="2000" b="1" i="0" u="none" strike="noStrike">
              <a:solidFill>
                <a:schemeClr val="dk1"/>
              </a:solidFill>
              <a:effectLst/>
              <a:latin typeface="Calibri" panose="020F0502020204030204" pitchFamily="34" charset="0"/>
              <a:ea typeface="+mn-ea"/>
              <a:cs typeface="Calibri" panose="020F0502020204030204" pitchFamily="34" charset="0"/>
            </a:rPr>
            <a:t>31</a:t>
          </a:r>
          <a:r>
            <a:rPr lang="en-US" sz="3600" b="1">
              <a:effectLst/>
              <a:latin typeface="Calibri" panose="020F0502020204030204" pitchFamily="34" charset="0"/>
              <a:cs typeface="Calibri" panose="020F0502020204030204" pitchFamily="34" charset="0"/>
            </a:rPr>
            <a:t> </a:t>
          </a:r>
          <a:r>
            <a:rPr lang="en-US" sz="2000" b="1">
              <a:effectLst/>
              <a:latin typeface="Calibri" panose="020F0502020204030204" pitchFamily="34" charset="0"/>
              <a:cs typeface="Calibri" panose="020F0502020204030204" pitchFamily="34" charset="0"/>
            </a:rPr>
            <a:t>Days</a:t>
          </a:r>
          <a:endParaRPr lang="en-US" sz="1800" b="1">
            <a:solidFill>
              <a:schemeClr val="tx1"/>
            </a:solidFill>
            <a:latin typeface="Calibri" panose="020F0502020204030204" pitchFamily="34" charset="0"/>
            <a:cs typeface="Calibri" panose="020F0502020204030204" pitchFamily="34" charset="0"/>
          </a:endParaRPr>
        </a:p>
      </xdr:txBody>
    </xdr:sp>
    <xdr:clientData/>
  </xdr:twoCellAnchor>
  <xdr:twoCellAnchor editAs="oneCell">
    <xdr:from>
      <xdr:col>0</xdr:col>
      <xdr:colOff>0</xdr:colOff>
      <xdr:row>10</xdr:row>
      <xdr:rowOff>10162</xdr:rowOff>
    </xdr:from>
    <xdr:to>
      <xdr:col>2</xdr:col>
      <xdr:colOff>457200</xdr:colOff>
      <xdr:row>16</xdr:row>
      <xdr:rowOff>152400</xdr:rowOff>
    </xdr:to>
    <mc:AlternateContent xmlns:mc="http://schemas.openxmlformats.org/markup-compatibility/2006">
      <mc:Choice xmlns:a14="http://schemas.microsoft.com/office/drawing/2010/main" Requires="a14">
        <xdr:graphicFrame macro="">
          <xdr:nvGraphicFramePr>
            <xdr:cNvPr id="10" name="Retailer">
              <a:extLst>
                <a:ext uri="{FF2B5EF4-FFF2-40B4-BE49-F238E27FC236}">
                  <a16:creationId xmlns:a16="http://schemas.microsoft.com/office/drawing/2014/main" id="{0433648F-8C34-E82D-5FB3-3BEF0A6B3EEB}"/>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0" y="1864362"/>
              <a:ext cx="1676400" cy="1259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482601</xdr:colOff>
      <xdr:row>10</xdr:row>
      <xdr:rowOff>24556</xdr:rowOff>
    </xdr:from>
    <xdr:to>
      <xdr:col>5</xdr:col>
      <xdr:colOff>338667</xdr:colOff>
      <xdr:row>16</xdr:row>
      <xdr:rowOff>152400</xdr:rowOff>
    </xdr:to>
    <mc:AlternateContent xmlns:mc="http://schemas.openxmlformats.org/markup-compatibility/2006">
      <mc:Choice xmlns:a14="http://schemas.microsoft.com/office/drawing/2010/main" Requires="a14">
        <xdr:graphicFrame macro="">
          <xdr:nvGraphicFramePr>
            <xdr:cNvPr id="11" name="Regions">
              <a:extLst>
                <a:ext uri="{FF2B5EF4-FFF2-40B4-BE49-F238E27FC236}">
                  <a16:creationId xmlns:a16="http://schemas.microsoft.com/office/drawing/2014/main" id="{D0396815-822F-9878-E8F8-3A6FAC005A11}"/>
                </a:ext>
              </a:extLst>
            </xdr:cNvPr>
            <xdr:cNvGraphicFramePr/>
          </xdr:nvGraphicFramePr>
          <xdr:xfrm>
            <a:off x="0" y="0"/>
            <a:ext cx="0" cy="0"/>
          </xdr:xfrm>
          <a:graphic>
            <a:graphicData uri="http://schemas.microsoft.com/office/drawing/2010/slicer">
              <sle:slicer xmlns:sle="http://schemas.microsoft.com/office/drawing/2010/slicer" name="Regions"/>
            </a:graphicData>
          </a:graphic>
        </xdr:graphicFrame>
      </mc:Choice>
      <mc:Fallback>
        <xdr:sp macro="" textlink="">
          <xdr:nvSpPr>
            <xdr:cNvPr id="0" name=""/>
            <xdr:cNvSpPr>
              <a:spLocks noTextEdit="1"/>
            </xdr:cNvSpPr>
          </xdr:nvSpPr>
          <xdr:spPr>
            <a:xfrm>
              <a:off x="1701801" y="1878756"/>
              <a:ext cx="1684866" cy="1245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xdr:colOff>
      <xdr:row>16</xdr:row>
      <xdr:rowOff>177800</xdr:rowOff>
    </xdr:from>
    <xdr:to>
      <xdr:col>5</xdr:col>
      <xdr:colOff>330200</xdr:colOff>
      <xdr:row>28</xdr:row>
      <xdr:rowOff>152400</xdr:rowOff>
    </xdr:to>
    <mc:AlternateContent xmlns:mc="http://schemas.openxmlformats.org/markup-compatibility/2006">
      <mc:Choice xmlns:a14="http://schemas.microsoft.com/office/drawing/2010/main" Requires="a14">
        <xdr:graphicFrame macro="">
          <xdr:nvGraphicFramePr>
            <xdr:cNvPr id="12" name="Beverage Brand">
              <a:extLst>
                <a:ext uri="{FF2B5EF4-FFF2-40B4-BE49-F238E27FC236}">
                  <a16:creationId xmlns:a16="http://schemas.microsoft.com/office/drawing/2014/main" id="{7B91CC87-8B18-8E88-EBF6-23E03CA58770}"/>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12699" y="3149600"/>
              <a:ext cx="3365501"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364067</xdr:colOff>
      <xdr:row>10</xdr:row>
      <xdr:rowOff>0</xdr:rowOff>
    </xdr:from>
    <xdr:to>
      <xdr:col>15</xdr:col>
      <xdr:colOff>587587</xdr:colOff>
      <xdr:row>29</xdr:row>
      <xdr:rowOff>27093</xdr:rowOff>
    </xdr:to>
    <xdr:graphicFrame macro="">
      <xdr:nvGraphicFramePr>
        <xdr:cNvPr id="13" name="Chart 12">
          <a:extLst>
            <a:ext uri="{FF2B5EF4-FFF2-40B4-BE49-F238E27FC236}">
              <a16:creationId xmlns:a16="http://schemas.microsoft.com/office/drawing/2014/main" id="{BF729ADA-6237-4DB5-BBCC-CC08BA3C8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yseer elsayed" refreshedDate="46060.850217708336" createdVersion="8" refreshedVersion="8" minRefreshableVersion="3" recordCount="216" xr:uid="{9421B079-7995-4E8B-ABAA-A8250BE6AD70}">
  <cacheSource type="worksheet">
    <worksheetSource name="Retailers"/>
  </cacheSource>
  <cacheFields count="12">
    <cacheField name="Retailer" numFmtId="0">
      <sharedItems count="3">
        <s v="Costco"/>
        <s v="Target"/>
        <s v="Walgreens"/>
      </sharedItems>
    </cacheField>
    <cacheField name="Contact" numFmtId="0">
      <sharedItems/>
    </cacheField>
    <cacheField name="Retailer ID" numFmtId="0">
      <sharedItems containsSemiMixedTypes="0" containsString="0" containsNumber="1" containsInteger="1" minValue="1128299" maxValue="1197831"/>
    </cacheField>
    <cacheField name="Order Date" numFmtId="14">
      <sharedItems containsSemiMixedTypes="0" containsNonDate="0" containsDate="1" containsString="0" minDate="2022-01-02T00:00:00" maxDate="2022-12-20T00:00:00"/>
    </cacheField>
    <cacheField name="Payment Date" numFmtId="14">
      <sharedItems containsSemiMixedTypes="0" containsNonDate="0" containsDate="1" containsString="0" minDate="2022-02-01T00:00:00" maxDate="2023-01-19T00:00:00"/>
    </cacheField>
    <cacheField name="Regions" numFmtId="0">
      <sharedItems count="2">
        <s v="West"/>
        <s v="South"/>
      </sharedItems>
    </cacheField>
    <cacheField name="State" numFmtId="0">
      <sharedItems count="2">
        <s v="California"/>
        <s v="Texas"/>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0.25" maxValue="0.8"/>
    </cacheField>
    <cacheField name="Units Sold" numFmtId="0">
      <sharedItems containsSemiMixedTypes="0" containsString="0" containsNumber="1" containsInteger="1" minValue="4250" maxValue="11000"/>
    </cacheField>
    <cacheField name="Days from order to pay" numFmtId="0">
      <sharedItems containsSemiMixedTypes="0" containsString="0" containsNumber="1" containsInteger="1" minValue="30" maxValue="65"/>
    </cacheField>
    <cacheField name="Revenu" numFmtId="164">
      <sharedItems containsSemiMixedTypes="0" containsString="0" containsNumber="1" minValue="2000" maxValue="7000"/>
    </cacheField>
  </cacheFields>
  <extLst>
    <ext xmlns:x14="http://schemas.microsoft.com/office/spreadsheetml/2009/9/main" uri="{725AE2AE-9491-48be-B2B4-4EB974FC3084}">
      <x14:pivotCacheDefinition pivotCacheId="2098841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x v="0"/>
    <s v="Ana"/>
    <n v="1128299"/>
    <d v="2022-01-20T00:00:00"/>
    <d v="2022-02-19T00:00:00"/>
    <x v="0"/>
    <x v="0"/>
    <x v="0"/>
    <n v="0.4"/>
    <n v="7750"/>
    <n v="30"/>
    <n v="3100"/>
  </r>
  <r>
    <x v="0"/>
    <s v="Ana"/>
    <n v="1128299"/>
    <d v="2022-01-20T00:00:00"/>
    <d v="2022-03-26T00:00:00"/>
    <x v="0"/>
    <x v="0"/>
    <x v="1"/>
    <n v="0.5"/>
    <n v="7750"/>
    <n v="65"/>
    <n v="3875"/>
  </r>
  <r>
    <x v="0"/>
    <s v="Ana"/>
    <n v="1128299"/>
    <d v="2022-01-20T00:00:00"/>
    <d v="2022-03-26T00:00:00"/>
    <x v="0"/>
    <x v="0"/>
    <x v="2"/>
    <n v="0.5"/>
    <n v="7750"/>
    <n v="65"/>
    <n v="3875"/>
  </r>
  <r>
    <x v="0"/>
    <s v="Ana"/>
    <n v="1128299"/>
    <d v="2022-01-20T00:00:00"/>
    <d v="2022-02-26T00:00:00"/>
    <x v="0"/>
    <x v="0"/>
    <x v="3"/>
    <n v="0.5"/>
    <n v="6250"/>
    <n v="37"/>
    <n v="3125"/>
  </r>
  <r>
    <x v="0"/>
    <s v="Ana"/>
    <n v="1128299"/>
    <d v="2022-01-20T00:00:00"/>
    <d v="2022-02-19T00:00:00"/>
    <x v="0"/>
    <x v="0"/>
    <x v="4"/>
    <n v="0.55000000000000004"/>
    <n v="5750"/>
    <n v="30"/>
    <n v="3162.5"/>
  </r>
  <r>
    <x v="0"/>
    <s v="Ana"/>
    <n v="1128299"/>
    <d v="2022-01-20T00:00:00"/>
    <d v="2022-02-19T00:00:00"/>
    <x v="0"/>
    <x v="0"/>
    <x v="5"/>
    <n v="0.5"/>
    <n v="7750"/>
    <n v="30"/>
    <n v="3875"/>
  </r>
  <r>
    <x v="0"/>
    <s v="Ana"/>
    <n v="1128299"/>
    <d v="2022-02-20T00:00:00"/>
    <d v="2022-03-22T00:00:00"/>
    <x v="0"/>
    <x v="0"/>
    <x v="0"/>
    <n v="0.4"/>
    <n v="8250"/>
    <n v="30"/>
    <n v="3300"/>
  </r>
  <r>
    <x v="0"/>
    <s v="Ana"/>
    <n v="1128299"/>
    <d v="2022-02-20T00:00:00"/>
    <d v="2022-03-22T00:00:00"/>
    <x v="0"/>
    <x v="0"/>
    <x v="1"/>
    <n v="0.5"/>
    <n v="7250"/>
    <n v="30"/>
    <n v="3625"/>
  </r>
  <r>
    <x v="0"/>
    <s v="Ana"/>
    <n v="1128299"/>
    <d v="2022-02-20T00:00:00"/>
    <d v="2022-03-22T00:00:00"/>
    <x v="0"/>
    <x v="0"/>
    <x v="2"/>
    <n v="0.5"/>
    <n v="7250"/>
    <n v="30"/>
    <n v="3625"/>
  </r>
  <r>
    <x v="0"/>
    <s v="Ana"/>
    <n v="1128299"/>
    <d v="2022-02-20T00:00:00"/>
    <d v="2022-03-22T00:00:00"/>
    <x v="0"/>
    <x v="0"/>
    <x v="3"/>
    <n v="0.5"/>
    <n v="5750"/>
    <n v="30"/>
    <n v="2875"/>
  </r>
  <r>
    <x v="0"/>
    <s v="Ana"/>
    <n v="1128299"/>
    <d v="2022-02-20T00:00:00"/>
    <d v="2022-03-25T00:00:00"/>
    <x v="0"/>
    <x v="0"/>
    <x v="4"/>
    <n v="0.55000000000000004"/>
    <n v="5000"/>
    <n v="33"/>
    <n v="2750"/>
  </r>
  <r>
    <x v="0"/>
    <s v="Ana"/>
    <n v="1128299"/>
    <d v="2022-02-20T00:00:00"/>
    <d v="2022-03-22T00:00:00"/>
    <x v="0"/>
    <x v="0"/>
    <x v="5"/>
    <n v="0.5"/>
    <n v="7000"/>
    <n v="30"/>
    <n v="3500"/>
  </r>
  <r>
    <x v="0"/>
    <s v="Ana"/>
    <n v="1128299"/>
    <d v="2022-03-19T00:00:00"/>
    <d v="2022-04-18T00:00:00"/>
    <x v="0"/>
    <x v="0"/>
    <x v="0"/>
    <n v="0.5"/>
    <n v="8500"/>
    <n v="30"/>
    <n v="4250"/>
  </r>
  <r>
    <x v="0"/>
    <s v="Ana"/>
    <n v="1128299"/>
    <d v="2022-03-19T00:00:00"/>
    <d v="2022-04-18T00:00:00"/>
    <x v="0"/>
    <x v="0"/>
    <x v="1"/>
    <n v="0.6"/>
    <n v="7000"/>
    <n v="30"/>
    <n v="4200"/>
  </r>
  <r>
    <x v="0"/>
    <s v="Ana"/>
    <n v="1128299"/>
    <d v="2022-03-19T00:00:00"/>
    <d v="2022-04-18T00:00:00"/>
    <x v="0"/>
    <x v="0"/>
    <x v="2"/>
    <n v="0.6"/>
    <n v="7000"/>
    <n v="30"/>
    <n v="4200"/>
  </r>
  <r>
    <x v="0"/>
    <s v="Ana"/>
    <n v="1128299"/>
    <d v="2022-03-19T00:00:00"/>
    <d v="2022-04-18T00:00:00"/>
    <x v="0"/>
    <x v="0"/>
    <x v="3"/>
    <n v="0.6"/>
    <n v="6000"/>
    <n v="30"/>
    <n v="3600"/>
  </r>
  <r>
    <x v="0"/>
    <s v="Ana"/>
    <n v="1128299"/>
    <d v="2022-03-19T00:00:00"/>
    <d v="2022-04-18T00:00:00"/>
    <x v="0"/>
    <x v="0"/>
    <x v="4"/>
    <n v="0.65"/>
    <n v="5000"/>
    <n v="30"/>
    <n v="3250"/>
  </r>
  <r>
    <x v="0"/>
    <s v="Ana"/>
    <n v="1128299"/>
    <d v="2022-03-19T00:00:00"/>
    <d v="2022-04-18T00:00:00"/>
    <x v="0"/>
    <x v="0"/>
    <x v="5"/>
    <n v="0.6"/>
    <n v="7000"/>
    <n v="30"/>
    <n v="4200"/>
  </r>
  <r>
    <x v="0"/>
    <s v="Ana"/>
    <n v="1128299"/>
    <d v="2022-04-20T00:00:00"/>
    <d v="2022-05-20T00:00:00"/>
    <x v="0"/>
    <x v="0"/>
    <x v="0"/>
    <n v="0.6"/>
    <n v="8750"/>
    <n v="30"/>
    <n v="5250"/>
  </r>
  <r>
    <x v="0"/>
    <s v="Ana"/>
    <n v="1128299"/>
    <d v="2022-04-20T00:00:00"/>
    <d v="2022-05-20T00:00:00"/>
    <x v="0"/>
    <x v="0"/>
    <x v="1"/>
    <n v="0.65"/>
    <n v="6750"/>
    <n v="30"/>
    <n v="4387.5"/>
  </r>
  <r>
    <x v="0"/>
    <s v="Ana"/>
    <n v="1128299"/>
    <d v="2022-04-20T00:00:00"/>
    <d v="2022-05-20T00:00:00"/>
    <x v="0"/>
    <x v="0"/>
    <x v="2"/>
    <n v="0.65"/>
    <n v="7250"/>
    <n v="30"/>
    <n v="4712.5"/>
  </r>
  <r>
    <x v="0"/>
    <s v="Ana"/>
    <n v="1128299"/>
    <d v="2022-04-20T00:00:00"/>
    <d v="2022-05-20T00:00:00"/>
    <x v="0"/>
    <x v="0"/>
    <x v="3"/>
    <n v="0.6"/>
    <n v="6250"/>
    <n v="30"/>
    <n v="3750"/>
  </r>
  <r>
    <x v="0"/>
    <s v="Ana"/>
    <n v="1128299"/>
    <d v="2022-04-20T00:00:00"/>
    <d v="2022-05-20T00:00:00"/>
    <x v="0"/>
    <x v="0"/>
    <x v="4"/>
    <n v="0.65"/>
    <n v="5250"/>
    <n v="30"/>
    <n v="3412.5"/>
  </r>
  <r>
    <x v="0"/>
    <s v="Ana"/>
    <n v="1128299"/>
    <d v="2022-04-20T00:00:00"/>
    <d v="2022-05-20T00:00:00"/>
    <x v="0"/>
    <x v="0"/>
    <x v="5"/>
    <n v="0.8"/>
    <n v="7000"/>
    <n v="30"/>
    <n v="5600"/>
  </r>
  <r>
    <x v="0"/>
    <s v="Ana"/>
    <n v="1128299"/>
    <d v="2022-05-21T00:00:00"/>
    <d v="2022-06-20T00:00:00"/>
    <x v="0"/>
    <x v="0"/>
    <x v="0"/>
    <n v="0.6"/>
    <n v="9000"/>
    <n v="30"/>
    <n v="5400"/>
  </r>
  <r>
    <x v="0"/>
    <s v="Ana"/>
    <n v="1128299"/>
    <d v="2022-05-21T00:00:00"/>
    <d v="2022-06-20T00:00:00"/>
    <x v="0"/>
    <x v="0"/>
    <x v="1"/>
    <n v="0.65"/>
    <n v="7500"/>
    <n v="30"/>
    <n v="4875"/>
  </r>
  <r>
    <x v="0"/>
    <s v="Ana"/>
    <n v="1128299"/>
    <d v="2022-05-21T00:00:00"/>
    <d v="2022-06-20T00:00:00"/>
    <x v="0"/>
    <x v="0"/>
    <x v="2"/>
    <n v="0.65"/>
    <n v="7500"/>
    <n v="30"/>
    <n v="4875"/>
  </r>
  <r>
    <x v="0"/>
    <s v="Ana"/>
    <n v="1128299"/>
    <d v="2022-05-21T00:00:00"/>
    <d v="2022-06-20T00:00:00"/>
    <x v="0"/>
    <x v="0"/>
    <x v="3"/>
    <n v="0.6"/>
    <n v="6500"/>
    <n v="30"/>
    <n v="3900"/>
  </r>
  <r>
    <x v="0"/>
    <s v="Ana"/>
    <n v="1128299"/>
    <d v="2022-05-21T00:00:00"/>
    <d v="2022-06-20T00:00:00"/>
    <x v="0"/>
    <x v="0"/>
    <x v="4"/>
    <n v="0.65"/>
    <n v="5500"/>
    <n v="30"/>
    <n v="3575"/>
  </r>
  <r>
    <x v="0"/>
    <s v="Ana"/>
    <n v="1128299"/>
    <d v="2022-05-21T00:00:00"/>
    <d v="2022-06-20T00:00:00"/>
    <x v="0"/>
    <x v="0"/>
    <x v="5"/>
    <n v="0.8"/>
    <n v="7250"/>
    <n v="30"/>
    <n v="5800"/>
  </r>
  <r>
    <x v="0"/>
    <s v="Ana"/>
    <n v="1128299"/>
    <d v="2022-06-20T00:00:00"/>
    <d v="2022-07-20T00:00:00"/>
    <x v="0"/>
    <x v="0"/>
    <x v="0"/>
    <n v="0.6"/>
    <n v="9750"/>
    <n v="30"/>
    <n v="5850"/>
  </r>
  <r>
    <x v="0"/>
    <s v="Ana"/>
    <n v="1128299"/>
    <d v="2022-06-20T00:00:00"/>
    <d v="2022-07-20T00:00:00"/>
    <x v="0"/>
    <x v="0"/>
    <x v="1"/>
    <n v="0.65"/>
    <n v="8250"/>
    <n v="30"/>
    <n v="5362.5"/>
  </r>
  <r>
    <x v="0"/>
    <s v="Ana"/>
    <n v="1128299"/>
    <d v="2022-06-20T00:00:00"/>
    <d v="2022-07-20T00:00:00"/>
    <x v="0"/>
    <x v="0"/>
    <x v="2"/>
    <n v="0.65"/>
    <n v="8250"/>
    <n v="30"/>
    <n v="5362.5"/>
  </r>
  <r>
    <x v="0"/>
    <s v="Ana"/>
    <n v="1128299"/>
    <d v="2022-06-20T00:00:00"/>
    <d v="2022-07-20T00:00:00"/>
    <x v="0"/>
    <x v="0"/>
    <x v="3"/>
    <n v="0.6"/>
    <n v="7000"/>
    <n v="30"/>
    <n v="4200"/>
  </r>
  <r>
    <x v="0"/>
    <s v="Ana"/>
    <n v="1128299"/>
    <d v="2022-06-20T00:00:00"/>
    <d v="2022-07-20T00:00:00"/>
    <x v="0"/>
    <x v="0"/>
    <x v="4"/>
    <n v="0.65"/>
    <n v="5750"/>
    <n v="30"/>
    <n v="3737.5"/>
  </r>
  <r>
    <x v="0"/>
    <s v="Ana"/>
    <n v="1128299"/>
    <d v="2022-06-20T00:00:00"/>
    <d v="2022-07-20T00:00:00"/>
    <x v="0"/>
    <x v="0"/>
    <x v="5"/>
    <n v="0.8"/>
    <n v="8750"/>
    <n v="30"/>
    <n v="7000"/>
  </r>
  <r>
    <x v="0"/>
    <s v="Ana"/>
    <n v="1128299"/>
    <d v="2022-07-19T00:00:00"/>
    <d v="2022-08-18T00:00:00"/>
    <x v="0"/>
    <x v="0"/>
    <x v="0"/>
    <n v="0.6"/>
    <n v="10250"/>
    <n v="30"/>
    <n v="6150"/>
  </r>
  <r>
    <x v="0"/>
    <s v="Ana"/>
    <n v="1128299"/>
    <d v="2022-07-19T00:00:00"/>
    <d v="2022-08-18T00:00:00"/>
    <x v="0"/>
    <x v="0"/>
    <x v="1"/>
    <n v="0.65"/>
    <n v="8750"/>
    <n v="30"/>
    <n v="5687.5"/>
  </r>
  <r>
    <x v="0"/>
    <s v="Ana"/>
    <n v="1128299"/>
    <d v="2022-07-19T00:00:00"/>
    <d v="2022-08-18T00:00:00"/>
    <x v="0"/>
    <x v="0"/>
    <x v="2"/>
    <n v="0.65"/>
    <n v="8250"/>
    <n v="30"/>
    <n v="5362.5"/>
  </r>
  <r>
    <x v="0"/>
    <s v="Ana"/>
    <n v="1128299"/>
    <d v="2022-07-19T00:00:00"/>
    <d v="2022-08-18T00:00:00"/>
    <x v="0"/>
    <x v="0"/>
    <x v="3"/>
    <n v="0.6"/>
    <n v="7250"/>
    <n v="30"/>
    <n v="4350"/>
  </r>
  <r>
    <x v="0"/>
    <s v="Ana"/>
    <n v="1128299"/>
    <d v="2022-07-19T00:00:00"/>
    <d v="2022-08-18T00:00:00"/>
    <x v="0"/>
    <x v="0"/>
    <x v="4"/>
    <n v="0.65"/>
    <n v="7750"/>
    <n v="30"/>
    <n v="5037.5"/>
  </r>
  <r>
    <x v="0"/>
    <s v="Ana"/>
    <n v="1128299"/>
    <d v="2022-07-19T00:00:00"/>
    <d v="2022-08-18T00:00:00"/>
    <x v="0"/>
    <x v="0"/>
    <x v="5"/>
    <n v="0.8"/>
    <n v="7750"/>
    <n v="30"/>
    <n v="6200"/>
  </r>
  <r>
    <x v="0"/>
    <s v="Ana"/>
    <n v="1128299"/>
    <d v="2022-08-20T00:00:00"/>
    <d v="2022-09-19T00:00:00"/>
    <x v="0"/>
    <x v="0"/>
    <x v="0"/>
    <n v="0.65"/>
    <n v="9750"/>
    <n v="30"/>
    <n v="6337.5"/>
  </r>
  <r>
    <x v="0"/>
    <s v="Ana"/>
    <n v="1128299"/>
    <d v="2022-08-20T00:00:00"/>
    <d v="2022-09-19T00:00:00"/>
    <x v="0"/>
    <x v="0"/>
    <x v="1"/>
    <n v="0.7"/>
    <n v="9250"/>
    <n v="30"/>
    <n v="6475"/>
  </r>
  <r>
    <x v="0"/>
    <s v="Ana"/>
    <n v="1128299"/>
    <d v="2022-08-20T00:00:00"/>
    <d v="2022-09-19T00:00:00"/>
    <x v="0"/>
    <x v="0"/>
    <x v="2"/>
    <n v="0.65"/>
    <n v="8000"/>
    <n v="30"/>
    <n v="5200"/>
  </r>
  <r>
    <x v="0"/>
    <s v="Ana"/>
    <n v="1128299"/>
    <d v="2022-08-20T00:00:00"/>
    <d v="2022-09-19T00:00:00"/>
    <x v="0"/>
    <x v="0"/>
    <x v="3"/>
    <n v="0.65"/>
    <n v="7500"/>
    <n v="30"/>
    <n v="4875"/>
  </r>
  <r>
    <x v="0"/>
    <s v="Ana"/>
    <n v="1128299"/>
    <d v="2022-08-20T00:00:00"/>
    <d v="2022-09-19T00:00:00"/>
    <x v="0"/>
    <x v="0"/>
    <x v="4"/>
    <n v="0.75"/>
    <n v="7500"/>
    <n v="30"/>
    <n v="5625"/>
  </r>
  <r>
    <x v="0"/>
    <s v="Ana"/>
    <n v="1128299"/>
    <d v="2022-08-20T00:00:00"/>
    <d v="2022-09-19T00:00:00"/>
    <x v="0"/>
    <x v="0"/>
    <x v="5"/>
    <n v="0.8"/>
    <n v="7250"/>
    <n v="30"/>
    <n v="5800"/>
  </r>
  <r>
    <x v="0"/>
    <s v="Ana"/>
    <n v="1128299"/>
    <d v="2022-09-21T00:00:00"/>
    <d v="2022-10-21T00:00:00"/>
    <x v="0"/>
    <x v="0"/>
    <x v="0"/>
    <n v="0.55000000000000004"/>
    <n v="9250"/>
    <n v="30"/>
    <n v="5087.5"/>
  </r>
  <r>
    <x v="0"/>
    <s v="Ana"/>
    <n v="1128299"/>
    <d v="2022-09-21T00:00:00"/>
    <d v="2022-10-21T00:00:00"/>
    <x v="0"/>
    <x v="0"/>
    <x v="1"/>
    <n v="0.6"/>
    <n v="9250"/>
    <n v="30"/>
    <n v="5550"/>
  </r>
  <r>
    <x v="0"/>
    <s v="Ana"/>
    <n v="1128299"/>
    <d v="2022-09-21T00:00:00"/>
    <d v="2022-10-21T00:00:00"/>
    <x v="0"/>
    <x v="0"/>
    <x v="2"/>
    <n v="0.55000000000000004"/>
    <n v="7750"/>
    <n v="30"/>
    <n v="4262.5"/>
  </r>
  <r>
    <x v="0"/>
    <s v="Ana"/>
    <n v="1128299"/>
    <d v="2022-09-21T00:00:00"/>
    <d v="2022-10-21T00:00:00"/>
    <x v="0"/>
    <x v="0"/>
    <x v="3"/>
    <n v="0.55000000000000004"/>
    <n v="7250"/>
    <n v="30"/>
    <n v="3987.5"/>
  </r>
  <r>
    <x v="0"/>
    <s v="Ana"/>
    <n v="1128299"/>
    <d v="2022-09-21T00:00:00"/>
    <d v="2022-10-21T00:00:00"/>
    <x v="0"/>
    <x v="0"/>
    <x v="4"/>
    <n v="0.65"/>
    <n v="7250"/>
    <n v="30"/>
    <n v="4712.5"/>
  </r>
  <r>
    <x v="0"/>
    <s v="Ana"/>
    <n v="1128299"/>
    <d v="2022-09-21T00:00:00"/>
    <d v="2022-10-21T00:00:00"/>
    <x v="0"/>
    <x v="0"/>
    <x v="5"/>
    <n v="0.7"/>
    <n v="7750"/>
    <n v="30"/>
    <n v="5425"/>
  </r>
  <r>
    <x v="0"/>
    <s v="Ana"/>
    <n v="1128299"/>
    <d v="2022-10-20T00:00:00"/>
    <d v="2022-11-19T00:00:00"/>
    <x v="0"/>
    <x v="0"/>
    <x v="0"/>
    <n v="0.55000000000000004"/>
    <n v="8750"/>
    <n v="30"/>
    <n v="4812.5"/>
  </r>
  <r>
    <x v="0"/>
    <s v="Ana"/>
    <n v="1128299"/>
    <d v="2022-10-20T00:00:00"/>
    <d v="2022-11-19T00:00:00"/>
    <x v="0"/>
    <x v="0"/>
    <x v="1"/>
    <n v="0.6"/>
    <n v="8750"/>
    <n v="30"/>
    <n v="5250"/>
  </r>
  <r>
    <x v="0"/>
    <s v="Ana"/>
    <n v="1128299"/>
    <d v="2022-10-20T00:00:00"/>
    <d v="2022-11-19T00:00:00"/>
    <x v="0"/>
    <x v="0"/>
    <x v="2"/>
    <n v="0.55000000000000004"/>
    <n v="7000"/>
    <n v="30"/>
    <n v="3850"/>
  </r>
  <r>
    <x v="0"/>
    <s v="Ana"/>
    <n v="1128299"/>
    <d v="2022-10-20T00:00:00"/>
    <d v="2022-11-19T00:00:00"/>
    <x v="0"/>
    <x v="0"/>
    <x v="3"/>
    <n v="0.55000000000000004"/>
    <n v="6750"/>
    <n v="30"/>
    <n v="3712.5"/>
  </r>
  <r>
    <x v="0"/>
    <s v="Ana"/>
    <n v="1128299"/>
    <d v="2022-10-20T00:00:00"/>
    <d v="2022-11-19T00:00:00"/>
    <x v="0"/>
    <x v="0"/>
    <x v="4"/>
    <n v="0.65"/>
    <n v="6500"/>
    <n v="30"/>
    <n v="4225"/>
  </r>
  <r>
    <x v="0"/>
    <s v="Ana"/>
    <n v="1128299"/>
    <d v="2022-10-20T00:00:00"/>
    <d v="2022-11-19T00:00:00"/>
    <x v="0"/>
    <x v="0"/>
    <x v="5"/>
    <n v="0.7"/>
    <n v="7000"/>
    <n v="30"/>
    <n v="4900"/>
  </r>
  <r>
    <x v="0"/>
    <s v="Ana"/>
    <n v="1128299"/>
    <d v="2022-11-20T00:00:00"/>
    <d v="2022-12-20T00:00:00"/>
    <x v="0"/>
    <x v="0"/>
    <x v="0"/>
    <n v="0.55000000000000004"/>
    <n v="8750"/>
    <n v="30"/>
    <n v="4812.5"/>
  </r>
  <r>
    <x v="0"/>
    <s v="Ana"/>
    <n v="1128299"/>
    <d v="2022-11-20T00:00:00"/>
    <d v="2022-12-20T00:00:00"/>
    <x v="0"/>
    <x v="0"/>
    <x v="1"/>
    <n v="0.6"/>
    <n v="8750"/>
    <n v="30"/>
    <n v="5250"/>
  </r>
  <r>
    <x v="0"/>
    <s v="Ana"/>
    <n v="1128299"/>
    <d v="2022-11-20T00:00:00"/>
    <d v="2022-12-20T00:00:00"/>
    <x v="0"/>
    <x v="0"/>
    <x v="2"/>
    <n v="0.55000000000000004"/>
    <n v="7250"/>
    <n v="30"/>
    <n v="3987.5"/>
  </r>
  <r>
    <x v="0"/>
    <s v="Ana"/>
    <n v="1128299"/>
    <d v="2022-11-20T00:00:00"/>
    <d v="2022-12-20T00:00:00"/>
    <x v="0"/>
    <x v="0"/>
    <x v="3"/>
    <n v="0.55000000000000004"/>
    <n v="7000"/>
    <n v="30"/>
    <n v="3850"/>
  </r>
  <r>
    <x v="0"/>
    <s v="Ana"/>
    <n v="1128299"/>
    <d v="2022-11-20T00:00:00"/>
    <d v="2022-12-20T00:00:00"/>
    <x v="0"/>
    <x v="0"/>
    <x v="4"/>
    <n v="0.65"/>
    <n v="6500"/>
    <n v="30"/>
    <n v="4225"/>
  </r>
  <r>
    <x v="0"/>
    <s v="Ana"/>
    <n v="1128299"/>
    <d v="2022-11-20T00:00:00"/>
    <d v="2022-12-20T00:00:00"/>
    <x v="0"/>
    <x v="0"/>
    <x v="5"/>
    <n v="0.7"/>
    <n v="7750"/>
    <n v="30"/>
    <n v="5425"/>
  </r>
  <r>
    <x v="0"/>
    <s v="Ana"/>
    <n v="1128299"/>
    <d v="2022-12-19T00:00:00"/>
    <d v="2023-01-18T00:00:00"/>
    <x v="0"/>
    <x v="0"/>
    <x v="0"/>
    <n v="0.55000000000000004"/>
    <n v="9750"/>
    <n v="30"/>
    <n v="5362.5"/>
  </r>
  <r>
    <x v="0"/>
    <s v="Ana"/>
    <n v="1128299"/>
    <d v="2022-12-19T00:00:00"/>
    <d v="2023-01-18T00:00:00"/>
    <x v="0"/>
    <x v="0"/>
    <x v="1"/>
    <n v="0.6"/>
    <n v="9750"/>
    <n v="30"/>
    <n v="5850"/>
  </r>
  <r>
    <x v="0"/>
    <s v="Ana"/>
    <n v="1128299"/>
    <d v="2022-12-19T00:00:00"/>
    <d v="2023-01-18T00:00:00"/>
    <x v="0"/>
    <x v="0"/>
    <x v="2"/>
    <n v="0.55000000000000004"/>
    <n v="7750"/>
    <n v="30"/>
    <n v="4262.5"/>
  </r>
  <r>
    <x v="0"/>
    <s v="Ana"/>
    <n v="1128299"/>
    <d v="2022-12-19T00:00:00"/>
    <d v="2023-01-18T00:00:00"/>
    <x v="0"/>
    <x v="0"/>
    <x v="3"/>
    <n v="0.55000000000000004"/>
    <n v="7750"/>
    <n v="30"/>
    <n v="4262.5"/>
  </r>
  <r>
    <x v="0"/>
    <s v="Ana"/>
    <n v="1128299"/>
    <d v="2022-12-19T00:00:00"/>
    <d v="2023-01-18T00:00:00"/>
    <x v="0"/>
    <x v="0"/>
    <x v="4"/>
    <n v="0.65"/>
    <n v="7000"/>
    <n v="30"/>
    <n v="4550"/>
  </r>
  <r>
    <x v="0"/>
    <s v="Ana"/>
    <n v="1128299"/>
    <d v="2022-12-19T00:00:00"/>
    <d v="2023-01-18T00:00:00"/>
    <x v="0"/>
    <x v="0"/>
    <x v="5"/>
    <n v="0.7"/>
    <n v="8000"/>
    <n v="30"/>
    <n v="5600"/>
  </r>
  <r>
    <x v="1"/>
    <s v="Stuart"/>
    <n v="1197831"/>
    <d v="2022-01-02T00:00:00"/>
    <d v="2022-02-01T00:00:00"/>
    <x v="1"/>
    <x v="1"/>
    <x v="0"/>
    <n v="0.25"/>
    <n v="9000"/>
    <n v="30"/>
    <n v="2250"/>
  </r>
  <r>
    <x v="1"/>
    <s v="Stuart"/>
    <n v="1197831"/>
    <d v="2022-01-02T00:00:00"/>
    <d v="2022-02-01T00:00:00"/>
    <x v="1"/>
    <x v="1"/>
    <x v="1"/>
    <n v="0.35"/>
    <n v="9000"/>
    <n v="30"/>
    <n v="3150"/>
  </r>
  <r>
    <x v="1"/>
    <s v="Stuart"/>
    <n v="1197831"/>
    <d v="2022-01-02T00:00:00"/>
    <d v="2022-02-01T00:00:00"/>
    <x v="1"/>
    <x v="1"/>
    <x v="2"/>
    <n v="0.35"/>
    <n v="7000"/>
    <n v="30"/>
    <n v="2450"/>
  </r>
  <r>
    <x v="1"/>
    <s v="Stuart"/>
    <n v="1197831"/>
    <d v="2022-01-02T00:00:00"/>
    <d v="2022-02-01T00:00:00"/>
    <x v="1"/>
    <x v="1"/>
    <x v="3"/>
    <n v="0.35"/>
    <n v="7000"/>
    <n v="30"/>
    <n v="2450"/>
  </r>
  <r>
    <x v="1"/>
    <s v="Stuart"/>
    <n v="1197831"/>
    <d v="2022-01-02T00:00:00"/>
    <d v="2022-02-01T00:00:00"/>
    <x v="1"/>
    <x v="1"/>
    <x v="4"/>
    <n v="0.4"/>
    <n v="5500"/>
    <n v="30"/>
    <n v="2200"/>
  </r>
  <r>
    <x v="1"/>
    <s v="Stuart"/>
    <n v="1197831"/>
    <d v="2022-01-02T00:00:00"/>
    <d v="2022-02-01T00:00:00"/>
    <x v="1"/>
    <x v="1"/>
    <x v="5"/>
    <n v="0.35"/>
    <n v="7000"/>
    <n v="30"/>
    <n v="2450"/>
  </r>
  <r>
    <x v="1"/>
    <s v="Stuart"/>
    <n v="1197831"/>
    <d v="2022-02-01T00:00:00"/>
    <d v="2022-03-03T00:00:00"/>
    <x v="1"/>
    <x v="1"/>
    <x v="0"/>
    <n v="0.25"/>
    <n v="8500"/>
    <n v="30"/>
    <n v="2125"/>
  </r>
  <r>
    <x v="1"/>
    <s v="Stuart"/>
    <n v="1197831"/>
    <d v="2022-02-01T00:00:00"/>
    <d v="2022-03-11T00:00:00"/>
    <x v="1"/>
    <x v="1"/>
    <x v="1"/>
    <n v="0.35"/>
    <n v="8500"/>
    <n v="38"/>
    <n v="2975"/>
  </r>
  <r>
    <x v="1"/>
    <s v="Stuart"/>
    <n v="1197831"/>
    <d v="2022-02-01T00:00:00"/>
    <d v="2022-03-22T00:00:00"/>
    <x v="1"/>
    <x v="1"/>
    <x v="2"/>
    <n v="0.35"/>
    <n v="6750"/>
    <n v="49"/>
    <n v="2362.5"/>
  </r>
  <r>
    <x v="1"/>
    <s v="Stuart"/>
    <n v="1197831"/>
    <d v="2022-02-01T00:00:00"/>
    <d v="2022-03-03T00:00:00"/>
    <x v="1"/>
    <x v="1"/>
    <x v="3"/>
    <n v="0.35"/>
    <n v="6250"/>
    <n v="30"/>
    <n v="2187.5"/>
  </r>
  <r>
    <x v="1"/>
    <s v="Stuart"/>
    <n v="1197831"/>
    <d v="2022-02-01T00:00:00"/>
    <d v="2022-03-03T00:00:00"/>
    <x v="1"/>
    <x v="1"/>
    <x v="4"/>
    <n v="0.4"/>
    <n v="5000"/>
    <n v="30"/>
    <n v="2000"/>
  </r>
  <r>
    <x v="1"/>
    <s v="Stuart"/>
    <n v="1197831"/>
    <d v="2022-02-01T00:00:00"/>
    <d v="2022-03-03T00:00:00"/>
    <x v="1"/>
    <x v="1"/>
    <x v="5"/>
    <n v="0.35"/>
    <n v="7000"/>
    <n v="30"/>
    <n v="2450"/>
  </r>
  <r>
    <x v="1"/>
    <s v="Stuart"/>
    <n v="1197831"/>
    <d v="2022-03-03T00:00:00"/>
    <d v="2022-04-02T00:00:00"/>
    <x v="1"/>
    <x v="1"/>
    <x v="0"/>
    <n v="0.3"/>
    <n v="8750"/>
    <n v="30"/>
    <n v="2625"/>
  </r>
  <r>
    <x v="1"/>
    <s v="Stuart"/>
    <n v="1197831"/>
    <d v="2022-03-03T00:00:00"/>
    <d v="2022-04-02T00:00:00"/>
    <x v="1"/>
    <x v="1"/>
    <x v="1"/>
    <n v="0.4"/>
    <n v="8750"/>
    <n v="30"/>
    <n v="3500"/>
  </r>
  <r>
    <x v="1"/>
    <s v="Stuart"/>
    <n v="1197831"/>
    <d v="2022-03-03T00:00:00"/>
    <d v="2022-04-02T00:00:00"/>
    <x v="1"/>
    <x v="1"/>
    <x v="2"/>
    <n v="0.35"/>
    <n v="7000"/>
    <n v="30"/>
    <n v="2450"/>
  </r>
  <r>
    <x v="1"/>
    <s v="Stuart"/>
    <n v="1197831"/>
    <d v="2022-03-03T00:00:00"/>
    <d v="2022-04-02T00:00:00"/>
    <x v="1"/>
    <x v="1"/>
    <x v="3"/>
    <n v="0.4"/>
    <n v="6000"/>
    <n v="30"/>
    <n v="2400"/>
  </r>
  <r>
    <x v="1"/>
    <s v="Stuart"/>
    <n v="1197831"/>
    <d v="2022-03-03T00:00:00"/>
    <d v="2022-04-02T00:00:00"/>
    <x v="1"/>
    <x v="1"/>
    <x v="4"/>
    <n v="0.45"/>
    <n v="5000"/>
    <n v="30"/>
    <n v="2250"/>
  </r>
  <r>
    <x v="1"/>
    <s v="Stuart"/>
    <n v="1197831"/>
    <d v="2022-03-03T00:00:00"/>
    <d v="2022-04-02T00:00:00"/>
    <x v="1"/>
    <x v="1"/>
    <x v="5"/>
    <n v="0.4"/>
    <n v="6500"/>
    <n v="30"/>
    <n v="2600"/>
  </r>
  <r>
    <x v="1"/>
    <s v="Stuart"/>
    <n v="1197831"/>
    <d v="2022-04-02T00:00:00"/>
    <d v="2022-05-02T00:00:00"/>
    <x v="1"/>
    <x v="1"/>
    <x v="0"/>
    <n v="0.3"/>
    <n v="9000"/>
    <n v="30"/>
    <n v="2700"/>
  </r>
  <r>
    <x v="1"/>
    <s v="Stuart"/>
    <n v="1197831"/>
    <d v="2022-04-02T00:00:00"/>
    <d v="2022-05-02T00:00:00"/>
    <x v="1"/>
    <x v="1"/>
    <x v="1"/>
    <n v="0.4"/>
    <n v="9000"/>
    <n v="30"/>
    <n v="3600"/>
  </r>
  <r>
    <x v="1"/>
    <s v="Stuart"/>
    <n v="1197831"/>
    <d v="2022-04-02T00:00:00"/>
    <d v="2022-05-02T00:00:00"/>
    <x v="1"/>
    <x v="1"/>
    <x v="2"/>
    <n v="0.35"/>
    <n v="7250"/>
    <n v="30"/>
    <n v="2537.5"/>
  </r>
  <r>
    <x v="1"/>
    <s v="Stuart"/>
    <n v="1197831"/>
    <d v="2022-04-02T00:00:00"/>
    <d v="2022-05-02T00:00:00"/>
    <x v="1"/>
    <x v="1"/>
    <x v="3"/>
    <n v="0.4"/>
    <n v="6250"/>
    <n v="30"/>
    <n v="2500"/>
  </r>
  <r>
    <x v="1"/>
    <s v="Stuart"/>
    <n v="1197831"/>
    <d v="2022-04-02T00:00:00"/>
    <d v="2022-05-02T00:00:00"/>
    <x v="1"/>
    <x v="1"/>
    <x v="4"/>
    <n v="0.45"/>
    <n v="5250"/>
    <n v="30"/>
    <n v="2362.5"/>
  </r>
  <r>
    <x v="1"/>
    <s v="Stuart"/>
    <n v="1197831"/>
    <d v="2022-04-02T00:00:00"/>
    <d v="2022-05-02T00:00:00"/>
    <x v="1"/>
    <x v="1"/>
    <x v="5"/>
    <n v="0.4"/>
    <n v="8000"/>
    <n v="30"/>
    <n v="3200"/>
  </r>
  <r>
    <x v="1"/>
    <s v="Stuart"/>
    <n v="1197831"/>
    <d v="2022-05-02T00:00:00"/>
    <d v="2022-06-01T00:00:00"/>
    <x v="1"/>
    <x v="1"/>
    <x v="0"/>
    <n v="0.3"/>
    <n v="9250"/>
    <n v="30"/>
    <n v="2775"/>
  </r>
  <r>
    <x v="1"/>
    <s v="Stuart"/>
    <n v="1197831"/>
    <d v="2022-05-02T00:00:00"/>
    <d v="2022-06-01T00:00:00"/>
    <x v="1"/>
    <x v="1"/>
    <x v="1"/>
    <n v="0.4"/>
    <n v="9250"/>
    <n v="30"/>
    <n v="3700"/>
  </r>
  <r>
    <x v="1"/>
    <s v="Stuart"/>
    <n v="1197831"/>
    <d v="2022-05-02T00:00:00"/>
    <d v="2022-06-01T00:00:00"/>
    <x v="1"/>
    <x v="1"/>
    <x v="2"/>
    <n v="0.35"/>
    <n v="7750"/>
    <n v="30"/>
    <n v="2712.5"/>
  </r>
  <r>
    <x v="1"/>
    <s v="Stuart"/>
    <n v="1197831"/>
    <d v="2022-05-02T00:00:00"/>
    <d v="2022-06-01T00:00:00"/>
    <x v="1"/>
    <x v="1"/>
    <x v="3"/>
    <n v="0.4"/>
    <n v="7000"/>
    <n v="30"/>
    <n v="2800"/>
  </r>
  <r>
    <x v="1"/>
    <s v="Stuart"/>
    <n v="1197831"/>
    <d v="2022-05-02T00:00:00"/>
    <d v="2022-06-01T00:00:00"/>
    <x v="1"/>
    <x v="1"/>
    <x v="4"/>
    <n v="0.45"/>
    <n v="6000"/>
    <n v="30"/>
    <n v="2700"/>
  </r>
  <r>
    <x v="1"/>
    <s v="Stuart"/>
    <n v="1197831"/>
    <d v="2022-05-02T00:00:00"/>
    <d v="2022-06-01T00:00:00"/>
    <x v="1"/>
    <x v="1"/>
    <x v="5"/>
    <n v="0.4"/>
    <n v="9500"/>
    <n v="30"/>
    <n v="3800"/>
  </r>
  <r>
    <x v="1"/>
    <s v="Stuart"/>
    <n v="1197831"/>
    <d v="2022-06-01T00:00:00"/>
    <d v="2022-07-01T00:00:00"/>
    <x v="1"/>
    <x v="1"/>
    <x v="0"/>
    <n v="0.4"/>
    <n v="9500"/>
    <n v="30"/>
    <n v="3800"/>
  </r>
  <r>
    <x v="1"/>
    <s v="Stuart"/>
    <n v="1197831"/>
    <d v="2022-06-01T00:00:00"/>
    <d v="2022-07-01T00:00:00"/>
    <x v="1"/>
    <x v="1"/>
    <x v="1"/>
    <n v="0.45"/>
    <n v="9500"/>
    <n v="30"/>
    <n v="4275"/>
  </r>
  <r>
    <x v="1"/>
    <s v="Stuart"/>
    <n v="1197831"/>
    <d v="2022-06-01T00:00:00"/>
    <d v="2022-07-01T00:00:00"/>
    <x v="1"/>
    <x v="1"/>
    <x v="2"/>
    <n v="0.4"/>
    <n v="8000"/>
    <n v="30"/>
    <n v="3200"/>
  </r>
  <r>
    <x v="1"/>
    <s v="Stuart"/>
    <n v="1197831"/>
    <d v="2022-06-01T00:00:00"/>
    <d v="2022-07-01T00:00:00"/>
    <x v="1"/>
    <x v="1"/>
    <x v="3"/>
    <n v="0.4"/>
    <n v="7500"/>
    <n v="30"/>
    <n v="3000"/>
  </r>
  <r>
    <x v="1"/>
    <s v="Stuart"/>
    <n v="1197831"/>
    <d v="2022-06-01T00:00:00"/>
    <d v="2022-07-01T00:00:00"/>
    <x v="1"/>
    <x v="1"/>
    <x v="4"/>
    <n v="0.45"/>
    <n v="6500"/>
    <n v="30"/>
    <n v="2925"/>
  </r>
  <r>
    <x v="1"/>
    <s v="Stuart"/>
    <n v="1197831"/>
    <d v="2022-06-01T00:00:00"/>
    <d v="2022-07-01T00:00:00"/>
    <x v="1"/>
    <x v="1"/>
    <x v="5"/>
    <n v="0.5"/>
    <n v="10000"/>
    <n v="30"/>
    <n v="5000"/>
  </r>
  <r>
    <x v="1"/>
    <s v="Stuart"/>
    <n v="1197831"/>
    <d v="2022-07-03T00:00:00"/>
    <d v="2022-08-02T00:00:00"/>
    <x v="1"/>
    <x v="1"/>
    <x v="0"/>
    <n v="0.4"/>
    <n v="9500"/>
    <n v="30"/>
    <n v="3800"/>
  </r>
  <r>
    <x v="1"/>
    <s v="Stuart"/>
    <n v="1197831"/>
    <d v="2022-07-03T00:00:00"/>
    <d v="2022-08-02T00:00:00"/>
    <x v="1"/>
    <x v="1"/>
    <x v="1"/>
    <n v="0.45"/>
    <n v="9500"/>
    <n v="30"/>
    <n v="4275"/>
  </r>
  <r>
    <x v="1"/>
    <s v="Stuart"/>
    <n v="1197831"/>
    <d v="2022-07-03T00:00:00"/>
    <d v="2022-08-02T00:00:00"/>
    <x v="1"/>
    <x v="1"/>
    <x v="2"/>
    <n v="0.4"/>
    <n v="11000"/>
    <n v="30"/>
    <n v="4400"/>
  </r>
  <r>
    <x v="1"/>
    <s v="Stuart"/>
    <n v="1197831"/>
    <d v="2022-07-03T00:00:00"/>
    <d v="2022-08-02T00:00:00"/>
    <x v="1"/>
    <x v="1"/>
    <x v="3"/>
    <n v="0.4"/>
    <n v="7000"/>
    <n v="30"/>
    <n v="2800"/>
  </r>
  <r>
    <x v="1"/>
    <s v="Stuart"/>
    <n v="1197831"/>
    <d v="2022-07-03T00:00:00"/>
    <d v="2022-08-02T00:00:00"/>
    <x v="1"/>
    <x v="1"/>
    <x v="4"/>
    <n v="0.45"/>
    <n v="7000"/>
    <n v="30"/>
    <n v="3150"/>
  </r>
  <r>
    <x v="1"/>
    <s v="Stuart"/>
    <n v="1197831"/>
    <d v="2022-07-03T00:00:00"/>
    <d v="2022-08-02T00:00:00"/>
    <x v="1"/>
    <x v="1"/>
    <x v="5"/>
    <n v="0.5"/>
    <n v="9750"/>
    <n v="30"/>
    <n v="4875"/>
  </r>
  <r>
    <x v="1"/>
    <s v="Stuart"/>
    <n v="1197831"/>
    <d v="2022-08-05T00:00:00"/>
    <d v="2022-09-04T00:00:00"/>
    <x v="1"/>
    <x v="1"/>
    <x v="0"/>
    <n v="0.4"/>
    <n v="9250"/>
    <n v="30"/>
    <n v="3700"/>
  </r>
  <r>
    <x v="1"/>
    <s v="Stuart"/>
    <n v="1197831"/>
    <d v="2022-08-05T00:00:00"/>
    <d v="2022-09-04T00:00:00"/>
    <x v="1"/>
    <x v="1"/>
    <x v="1"/>
    <n v="0.45"/>
    <n v="9250"/>
    <n v="30"/>
    <n v="4162.5"/>
  </r>
  <r>
    <x v="1"/>
    <s v="Stuart"/>
    <n v="1197831"/>
    <d v="2022-08-05T00:00:00"/>
    <d v="2022-09-04T00:00:00"/>
    <x v="1"/>
    <x v="1"/>
    <x v="2"/>
    <n v="0.4"/>
    <n v="11000"/>
    <n v="30"/>
    <n v="4400"/>
  </r>
  <r>
    <x v="1"/>
    <s v="Stuart"/>
    <n v="1197831"/>
    <d v="2022-08-05T00:00:00"/>
    <d v="2022-09-04T00:00:00"/>
    <x v="1"/>
    <x v="1"/>
    <x v="3"/>
    <n v="0.4"/>
    <n v="6500"/>
    <n v="30"/>
    <n v="2600"/>
  </r>
  <r>
    <x v="1"/>
    <s v="Stuart"/>
    <n v="1197831"/>
    <d v="2022-08-05T00:00:00"/>
    <d v="2022-09-04T00:00:00"/>
    <x v="1"/>
    <x v="1"/>
    <x v="4"/>
    <n v="0.45"/>
    <n v="6500"/>
    <n v="30"/>
    <n v="2925"/>
  </r>
  <r>
    <x v="1"/>
    <s v="Stuart"/>
    <n v="1197831"/>
    <d v="2022-08-05T00:00:00"/>
    <d v="2022-09-04T00:00:00"/>
    <x v="1"/>
    <x v="1"/>
    <x v="5"/>
    <n v="0.5"/>
    <n v="9000"/>
    <n v="30"/>
    <n v="4500"/>
  </r>
  <r>
    <x v="1"/>
    <s v="Stuart"/>
    <n v="1197831"/>
    <d v="2022-09-02T00:00:00"/>
    <d v="2022-10-02T00:00:00"/>
    <x v="1"/>
    <x v="1"/>
    <x v="0"/>
    <n v="0.45"/>
    <n v="8500"/>
    <n v="30"/>
    <n v="3825"/>
  </r>
  <r>
    <x v="1"/>
    <s v="Stuart"/>
    <n v="1197831"/>
    <d v="2022-09-02T00:00:00"/>
    <d v="2022-10-02T00:00:00"/>
    <x v="1"/>
    <x v="1"/>
    <x v="1"/>
    <n v="0.45"/>
    <n v="8500"/>
    <n v="30"/>
    <n v="3825"/>
  </r>
  <r>
    <x v="1"/>
    <s v="Stuart"/>
    <n v="1197831"/>
    <d v="2022-09-02T00:00:00"/>
    <d v="2022-10-02T00:00:00"/>
    <x v="1"/>
    <x v="1"/>
    <x v="2"/>
    <n v="0.5"/>
    <n v="9000"/>
    <n v="30"/>
    <n v="4500"/>
  </r>
  <r>
    <x v="1"/>
    <s v="Stuart"/>
    <n v="1197831"/>
    <d v="2022-09-02T00:00:00"/>
    <d v="2022-10-02T00:00:00"/>
    <x v="1"/>
    <x v="1"/>
    <x v="3"/>
    <n v="0.5"/>
    <n v="6250"/>
    <n v="30"/>
    <n v="3125"/>
  </r>
  <r>
    <x v="1"/>
    <s v="Stuart"/>
    <n v="1197831"/>
    <d v="2022-09-02T00:00:00"/>
    <d v="2022-10-02T00:00:00"/>
    <x v="1"/>
    <x v="1"/>
    <x v="4"/>
    <n v="0.45"/>
    <n v="6250"/>
    <n v="30"/>
    <n v="2812.5"/>
  </r>
  <r>
    <x v="1"/>
    <s v="Stuart"/>
    <n v="1197831"/>
    <d v="2022-09-02T00:00:00"/>
    <d v="2022-10-02T00:00:00"/>
    <x v="1"/>
    <x v="1"/>
    <x v="5"/>
    <n v="0.55000000000000004"/>
    <n v="8500"/>
    <n v="30"/>
    <n v="4675"/>
  </r>
  <r>
    <x v="1"/>
    <s v="Stuart"/>
    <n v="1197831"/>
    <d v="2022-10-01T00:00:00"/>
    <d v="2022-10-31T00:00:00"/>
    <x v="1"/>
    <x v="1"/>
    <x v="0"/>
    <n v="0.45"/>
    <n v="8000"/>
    <n v="30"/>
    <n v="3600"/>
  </r>
  <r>
    <x v="1"/>
    <s v="Stuart"/>
    <n v="1197831"/>
    <d v="2022-10-01T00:00:00"/>
    <d v="2022-10-31T00:00:00"/>
    <x v="1"/>
    <x v="1"/>
    <x v="1"/>
    <n v="0.45"/>
    <n v="8000"/>
    <n v="30"/>
    <n v="3600"/>
  </r>
  <r>
    <x v="1"/>
    <s v="Stuart"/>
    <n v="1197831"/>
    <d v="2022-10-01T00:00:00"/>
    <d v="2022-10-31T00:00:00"/>
    <x v="1"/>
    <x v="1"/>
    <x v="2"/>
    <n v="0.5"/>
    <n v="7500"/>
    <n v="30"/>
    <n v="3750"/>
  </r>
  <r>
    <x v="1"/>
    <s v="Stuart"/>
    <n v="1197831"/>
    <d v="2022-10-01T00:00:00"/>
    <d v="2022-10-31T00:00:00"/>
    <x v="1"/>
    <x v="1"/>
    <x v="3"/>
    <n v="0.5"/>
    <n v="6000"/>
    <n v="30"/>
    <n v="3000"/>
  </r>
  <r>
    <x v="1"/>
    <s v="Stuart"/>
    <n v="1197831"/>
    <d v="2022-10-01T00:00:00"/>
    <d v="2022-10-31T00:00:00"/>
    <x v="1"/>
    <x v="1"/>
    <x v="4"/>
    <n v="0.45"/>
    <n v="5750"/>
    <n v="30"/>
    <n v="2587.5"/>
  </r>
  <r>
    <x v="1"/>
    <s v="Stuart"/>
    <n v="1197831"/>
    <d v="2022-10-01T00:00:00"/>
    <d v="2022-10-31T00:00:00"/>
    <x v="1"/>
    <x v="1"/>
    <x v="5"/>
    <n v="0.55000000000000004"/>
    <n v="7500"/>
    <n v="30"/>
    <n v="4125"/>
  </r>
  <r>
    <x v="1"/>
    <s v="Stuart"/>
    <n v="1197831"/>
    <d v="2022-11-02T00:00:00"/>
    <d v="2022-12-02T00:00:00"/>
    <x v="1"/>
    <x v="1"/>
    <x v="0"/>
    <n v="0.45"/>
    <n v="9000"/>
    <n v="30"/>
    <n v="4050"/>
  </r>
  <r>
    <x v="1"/>
    <s v="Stuart"/>
    <n v="1197831"/>
    <d v="2022-11-02T00:00:00"/>
    <d v="2022-12-02T00:00:00"/>
    <x v="1"/>
    <x v="1"/>
    <x v="1"/>
    <n v="0.45"/>
    <n v="9000"/>
    <n v="30"/>
    <n v="4050"/>
  </r>
  <r>
    <x v="1"/>
    <s v="Stuart"/>
    <n v="1197831"/>
    <d v="2022-11-02T00:00:00"/>
    <d v="2022-12-02T00:00:00"/>
    <x v="1"/>
    <x v="1"/>
    <x v="2"/>
    <n v="0.5"/>
    <n v="8250"/>
    <n v="30"/>
    <n v="4125"/>
  </r>
  <r>
    <x v="1"/>
    <s v="Stuart"/>
    <n v="1197831"/>
    <d v="2022-11-02T00:00:00"/>
    <d v="2022-12-02T00:00:00"/>
    <x v="1"/>
    <x v="1"/>
    <x v="3"/>
    <n v="0.5"/>
    <n v="6750"/>
    <n v="30"/>
    <n v="3375"/>
  </r>
  <r>
    <x v="1"/>
    <s v="Stuart"/>
    <n v="1197831"/>
    <d v="2022-11-02T00:00:00"/>
    <d v="2022-12-02T00:00:00"/>
    <x v="1"/>
    <x v="1"/>
    <x v="4"/>
    <n v="0.45"/>
    <n v="6500"/>
    <n v="30"/>
    <n v="2925"/>
  </r>
  <r>
    <x v="1"/>
    <s v="Stuart"/>
    <n v="1197831"/>
    <d v="2022-11-02T00:00:00"/>
    <d v="2022-12-02T00:00:00"/>
    <x v="1"/>
    <x v="1"/>
    <x v="5"/>
    <n v="0.55000000000000004"/>
    <n v="8500"/>
    <n v="30"/>
    <n v="4675"/>
  </r>
  <r>
    <x v="1"/>
    <s v="Stuart"/>
    <n v="1197831"/>
    <d v="2022-12-01T00:00:00"/>
    <d v="2022-12-31T00:00:00"/>
    <x v="1"/>
    <x v="1"/>
    <x v="0"/>
    <n v="0.45"/>
    <n v="9500"/>
    <n v="30"/>
    <n v="4275"/>
  </r>
  <r>
    <x v="1"/>
    <s v="Stuart"/>
    <n v="1197831"/>
    <d v="2022-12-01T00:00:00"/>
    <d v="2022-12-31T00:00:00"/>
    <x v="1"/>
    <x v="1"/>
    <x v="1"/>
    <n v="0.45"/>
    <n v="9500"/>
    <n v="30"/>
    <n v="4275"/>
  </r>
  <r>
    <x v="1"/>
    <s v="Stuart"/>
    <n v="1197831"/>
    <d v="2022-12-01T00:00:00"/>
    <d v="2022-12-31T00:00:00"/>
    <x v="1"/>
    <x v="1"/>
    <x v="2"/>
    <n v="0.5"/>
    <n v="8500"/>
    <n v="30"/>
    <n v="4250"/>
  </r>
  <r>
    <x v="1"/>
    <s v="Stuart"/>
    <n v="1197831"/>
    <d v="2022-12-01T00:00:00"/>
    <d v="2022-12-31T00:00:00"/>
    <x v="1"/>
    <x v="1"/>
    <x v="3"/>
    <n v="0.5"/>
    <n v="7000"/>
    <n v="30"/>
    <n v="3500"/>
  </r>
  <r>
    <x v="1"/>
    <s v="Stuart"/>
    <n v="1197831"/>
    <d v="2022-12-01T00:00:00"/>
    <d v="2022-12-31T00:00:00"/>
    <x v="1"/>
    <x v="1"/>
    <x v="4"/>
    <n v="0.45"/>
    <n v="6500"/>
    <n v="30"/>
    <n v="2925"/>
  </r>
  <r>
    <x v="1"/>
    <s v="Stuart"/>
    <n v="1197831"/>
    <d v="2022-12-01T00:00:00"/>
    <d v="2022-12-31T00:00:00"/>
    <x v="1"/>
    <x v="1"/>
    <x v="5"/>
    <n v="0.55000000000000004"/>
    <n v="9000"/>
    <n v="30"/>
    <n v="4950"/>
  </r>
  <r>
    <x v="2"/>
    <s v="Maria"/>
    <n v="1189833"/>
    <d v="2022-01-15T00:00:00"/>
    <d v="2022-02-19T00:00:00"/>
    <x v="0"/>
    <x v="0"/>
    <x v="0"/>
    <n v="0.35"/>
    <n v="7000"/>
    <n v="35"/>
    <n v="2450"/>
  </r>
  <r>
    <x v="2"/>
    <s v="Maria"/>
    <n v="1189833"/>
    <d v="2022-01-15T00:00:00"/>
    <d v="2022-02-14T00:00:00"/>
    <x v="0"/>
    <x v="0"/>
    <x v="1"/>
    <n v="0.45"/>
    <n v="7000"/>
    <n v="30"/>
    <n v="3150"/>
  </r>
  <r>
    <x v="2"/>
    <s v="Maria"/>
    <n v="1189833"/>
    <d v="2022-01-15T00:00:00"/>
    <d v="2022-02-14T00:00:00"/>
    <x v="0"/>
    <x v="0"/>
    <x v="2"/>
    <n v="0.45"/>
    <n v="7000"/>
    <n v="30"/>
    <n v="3150"/>
  </r>
  <r>
    <x v="2"/>
    <s v="Maria"/>
    <n v="1189833"/>
    <d v="2022-01-15T00:00:00"/>
    <d v="2022-02-14T00:00:00"/>
    <x v="0"/>
    <x v="0"/>
    <x v="3"/>
    <n v="0.45"/>
    <n v="5500"/>
    <n v="30"/>
    <n v="2475"/>
  </r>
  <r>
    <x v="2"/>
    <s v="Maria"/>
    <n v="1189833"/>
    <d v="2022-01-15T00:00:00"/>
    <d v="2022-02-14T00:00:00"/>
    <x v="0"/>
    <x v="0"/>
    <x v="4"/>
    <n v="0.5"/>
    <n v="5000"/>
    <n v="30"/>
    <n v="2500"/>
  </r>
  <r>
    <x v="2"/>
    <s v="Maria"/>
    <n v="1189833"/>
    <d v="2022-01-15T00:00:00"/>
    <d v="2022-02-14T00:00:00"/>
    <x v="0"/>
    <x v="0"/>
    <x v="5"/>
    <n v="0.45"/>
    <n v="7000"/>
    <n v="30"/>
    <n v="3150"/>
  </r>
  <r>
    <x v="2"/>
    <s v="Maria"/>
    <n v="1189833"/>
    <d v="2022-02-15T00:00:00"/>
    <d v="2022-03-17T00:00:00"/>
    <x v="0"/>
    <x v="0"/>
    <x v="0"/>
    <n v="0.35"/>
    <n v="7500"/>
    <n v="30"/>
    <n v="2625"/>
  </r>
  <r>
    <x v="2"/>
    <s v="Maria"/>
    <n v="1189833"/>
    <d v="2022-02-15T00:00:00"/>
    <d v="2022-03-17T00:00:00"/>
    <x v="0"/>
    <x v="0"/>
    <x v="1"/>
    <n v="0.45"/>
    <n v="6500"/>
    <n v="30"/>
    <n v="2925"/>
  </r>
  <r>
    <x v="2"/>
    <s v="Maria"/>
    <n v="1189833"/>
    <d v="2022-02-15T00:00:00"/>
    <d v="2022-03-17T00:00:00"/>
    <x v="0"/>
    <x v="0"/>
    <x v="2"/>
    <n v="0.45"/>
    <n v="6750"/>
    <n v="30"/>
    <n v="3037.5"/>
  </r>
  <r>
    <x v="2"/>
    <s v="Maria"/>
    <n v="1189833"/>
    <d v="2022-02-15T00:00:00"/>
    <d v="2022-03-17T00:00:00"/>
    <x v="0"/>
    <x v="0"/>
    <x v="3"/>
    <n v="0.45"/>
    <n v="5250"/>
    <n v="30"/>
    <n v="2362.5"/>
  </r>
  <r>
    <x v="2"/>
    <s v="Maria"/>
    <n v="1189833"/>
    <d v="2022-02-15T00:00:00"/>
    <d v="2022-03-22T00:00:00"/>
    <x v="0"/>
    <x v="0"/>
    <x v="4"/>
    <n v="0.5"/>
    <n v="4500"/>
    <n v="35"/>
    <n v="2250"/>
  </r>
  <r>
    <x v="2"/>
    <s v="Maria"/>
    <n v="1189833"/>
    <d v="2022-02-15T00:00:00"/>
    <d v="2022-03-25T00:00:00"/>
    <x v="0"/>
    <x v="0"/>
    <x v="5"/>
    <n v="0.45"/>
    <n v="6500"/>
    <n v="38"/>
    <n v="2925"/>
  </r>
  <r>
    <x v="2"/>
    <s v="Maria"/>
    <n v="1189833"/>
    <d v="2022-03-14T00:00:00"/>
    <d v="2022-04-13T00:00:00"/>
    <x v="0"/>
    <x v="0"/>
    <x v="0"/>
    <n v="0.35"/>
    <n v="8000"/>
    <n v="30"/>
    <n v="2800"/>
  </r>
  <r>
    <x v="2"/>
    <s v="Maria"/>
    <n v="1189833"/>
    <d v="2022-03-14T00:00:00"/>
    <d v="2022-04-13T00:00:00"/>
    <x v="0"/>
    <x v="0"/>
    <x v="1"/>
    <n v="0.45"/>
    <n v="6500"/>
    <n v="30"/>
    <n v="2925"/>
  </r>
  <r>
    <x v="2"/>
    <s v="Maria"/>
    <n v="1189833"/>
    <d v="2022-03-14T00:00:00"/>
    <d v="2022-04-13T00:00:00"/>
    <x v="0"/>
    <x v="0"/>
    <x v="2"/>
    <n v="0.45"/>
    <n v="6500"/>
    <n v="30"/>
    <n v="2925"/>
  </r>
  <r>
    <x v="2"/>
    <s v="Maria"/>
    <n v="1189833"/>
    <d v="2022-03-14T00:00:00"/>
    <d v="2022-04-13T00:00:00"/>
    <x v="0"/>
    <x v="0"/>
    <x v="3"/>
    <n v="0.45"/>
    <n v="5500"/>
    <n v="30"/>
    <n v="2475"/>
  </r>
  <r>
    <x v="2"/>
    <s v="Maria"/>
    <n v="1189833"/>
    <d v="2022-03-14T00:00:00"/>
    <d v="2022-04-13T00:00:00"/>
    <x v="0"/>
    <x v="0"/>
    <x v="4"/>
    <n v="0.5"/>
    <n v="4250"/>
    <n v="30"/>
    <n v="2125"/>
  </r>
  <r>
    <x v="2"/>
    <s v="Maria"/>
    <n v="1189833"/>
    <d v="2022-03-14T00:00:00"/>
    <d v="2022-04-13T00:00:00"/>
    <x v="0"/>
    <x v="0"/>
    <x v="5"/>
    <n v="0.45"/>
    <n v="6250"/>
    <n v="30"/>
    <n v="2812.5"/>
  </r>
  <r>
    <x v="2"/>
    <s v="Maria"/>
    <n v="1189833"/>
    <d v="2022-04-15T00:00:00"/>
    <d v="2022-05-15T00:00:00"/>
    <x v="0"/>
    <x v="0"/>
    <x v="0"/>
    <n v="0.45"/>
    <n v="8000"/>
    <n v="30"/>
    <n v="3600"/>
  </r>
  <r>
    <x v="2"/>
    <s v="Maria"/>
    <n v="1189833"/>
    <d v="2022-04-15T00:00:00"/>
    <d v="2022-05-15T00:00:00"/>
    <x v="0"/>
    <x v="0"/>
    <x v="1"/>
    <n v="0.5"/>
    <n v="6000"/>
    <n v="30"/>
    <n v="3000"/>
  </r>
  <r>
    <x v="2"/>
    <s v="Maria"/>
    <n v="1189833"/>
    <d v="2022-04-15T00:00:00"/>
    <d v="2022-05-15T00:00:00"/>
    <x v="0"/>
    <x v="0"/>
    <x v="2"/>
    <n v="0.5"/>
    <n v="6250"/>
    <n v="30"/>
    <n v="3125"/>
  </r>
  <r>
    <x v="2"/>
    <s v="Maria"/>
    <n v="1189833"/>
    <d v="2022-04-15T00:00:00"/>
    <d v="2022-05-15T00:00:00"/>
    <x v="0"/>
    <x v="0"/>
    <x v="3"/>
    <n v="0.45"/>
    <n v="5250"/>
    <n v="30"/>
    <n v="2362.5"/>
  </r>
  <r>
    <x v="2"/>
    <s v="Maria"/>
    <n v="1189833"/>
    <d v="2022-04-15T00:00:00"/>
    <d v="2022-05-15T00:00:00"/>
    <x v="0"/>
    <x v="0"/>
    <x v="4"/>
    <n v="0.5"/>
    <n v="4250"/>
    <n v="30"/>
    <n v="2125"/>
  </r>
  <r>
    <x v="2"/>
    <s v="Maria"/>
    <n v="1189833"/>
    <d v="2022-04-15T00:00:00"/>
    <d v="2022-05-15T00:00:00"/>
    <x v="0"/>
    <x v="0"/>
    <x v="5"/>
    <n v="0.65"/>
    <n v="6000"/>
    <n v="30"/>
    <n v="3900"/>
  </r>
  <r>
    <x v="2"/>
    <s v="Maria"/>
    <n v="1189833"/>
    <d v="2022-05-16T00:00:00"/>
    <d v="2022-06-15T00:00:00"/>
    <x v="0"/>
    <x v="0"/>
    <x v="0"/>
    <n v="0.45"/>
    <n v="8000"/>
    <n v="30"/>
    <n v="3600"/>
  </r>
  <r>
    <x v="2"/>
    <s v="Maria"/>
    <n v="1189833"/>
    <d v="2022-05-16T00:00:00"/>
    <d v="2022-06-15T00:00:00"/>
    <x v="0"/>
    <x v="0"/>
    <x v="1"/>
    <n v="0.5"/>
    <n v="6500"/>
    <n v="30"/>
    <n v="3250"/>
  </r>
  <r>
    <x v="2"/>
    <s v="Maria"/>
    <n v="1189833"/>
    <d v="2022-05-16T00:00:00"/>
    <d v="2022-06-15T00:00:00"/>
    <x v="0"/>
    <x v="0"/>
    <x v="2"/>
    <n v="0.5"/>
    <n v="6500"/>
    <n v="30"/>
    <n v="3250"/>
  </r>
  <r>
    <x v="2"/>
    <s v="Maria"/>
    <n v="1189833"/>
    <d v="2022-05-16T00:00:00"/>
    <d v="2022-06-15T00:00:00"/>
    <x v="0"/>
    <x v="0"/>
    <x v="3"/>
    <n v="0.45"/>
    <n v="5500"/>
    <n v="30"/>
    <n v="2475"/>
  </r>
  <r>
    <x v="2"/>
    <s v="Maria"/>
    <n v="1189833"/>
    <d v="2022-05-16T00:00:00"/>
    <d v="2022-06-15T00:00:00"/>
    <x v="0"/>
    <x v="0"/>
    <x v="4"/>
    <n v="0.5"/>
    <n v="4500"/>
    <n v="30"/>
    <n v="2250"/>
  </r>
  <r>
    <x v="2"/>
    <s v="Maria"/>
    <n v="1189833"/>
    <d v="2022-05-16T00:00:00"/>
    <d v="2022-06-15T00:00:00"/>
    <x v="0"/>
    <x v="0"/>
    <x v="5"/>
    <n v="0.65"/>
    <n v="6250"/>
    <n v="30"/>
    <n v="4062.5"/>
  </r>
  <r>
    <x v="2"/>
    <s v="Maria"/>
    <n v="1189833"/>
    <d v="2022-06-15T00:00:00"/>
    <d v="2022-07-15T00:00:00"/>
    <x v="0"/>
    <x v="0"/>
    <x v="0"/>
    <n v="0.45"/>
    <n v="9000"/>
    <n v="30"/>
    <n v="4050"/>
  </r>
  <r>
    <x v="2"/>
    <s v="Maria"/>
    <n v="1189833"/>
    <d v="2022-06-15T00:00:00"/>
    <d v="2022-07-15T00:00:00"/>
    <x v="0"/>
    <x v="0"/>
    <x v="1"/>
    <n v="0.5"/>
    <n v="7500"/>
    <n v="30"/>
    <n v="3750"/>
  </r>
  <r>
    <x v="2"/>
    <s v="Maria"/>
    <n v="1189833"/>
    <d v="2022-06-15T00:00:00"/>
    <d v="2022-07-15T00:00:00"/>
    <x v="0"/>
    <x v="0"/>
    <x v="2"/>
    <n v="0.5"/>
    <n v="7500"/>
    <n v="30"/>
    <n v="3750"/>
  </r>
  <r>
    <x v="2"/>
    <s v="Maria"/>
    <n v="1189833"/>
    <d v="2022-06-15T00:00:00"/>
    <d v="2022-07-15T00:00:00"/>
    <x v="0"/>
    <x v="0"/>
    <x v="3"/>
    <n v="0.45"/>
    <n v="6250"/>
    <n v="30"/>
    <n v="2812.5"/>
  </r>
  <r>
    <x v="2"/>
    <s v="Maria"/>
    <n v="1189833"/>
    <d v="2022-06-15T00:00:00"/>
    <d v="2022-07-15T00:00:00"/>
    <x v="0"/>
    <x v="0"/>
    <x v="4"/>
    <n v="0.5"/>
    <n v="5000"/>
    <n v="30"/>
    <n v="2500"/>
  </r>
  <r>
    <x v="2"/>
    <s v="Maria"/>
    <n v="1189833"/>
    <d v="2022-06-15T00:00:00"/>
    <d v="2022-07-15T00:00:00"/>
    <x v="0"/>
    <x v="0"/>
    <x v="5"/>
    <n v="0.65"/>
    <n v="8000"/>
    <n v="30"/>
    <n v="5200"/>
  </r>
  <r>
    <x v="2"/>
    <s v="Maria"/>
    <n v="1189833"/>
    <d v="2022-07-14T00:00:00"/>
    <d v="2022-08-13T00:00:00"/>
    <x v="0"/>
    <x v="0"/>
    <x v="0"/>
    <n v="0.45"/>
    <n v="9500"/>
    <n v="30"/>
    <n v="4275"/>
  </r>
  <r>
    <x v="2"/>
    <s v="Maria"/>
    <n v="1189833"/>
    <d v="2022-07-14T00:00:00"/>
    <d v="2022-08-13T00:00:00"/>
    <x v="0"/>
    <x v="0"/>
    <x v="1"/>
    <n v="0.5"/>
    <n v="8000"/>
    <n v="30"/>
    <n v="4000"/>
  </r>
  <r>
    <x v="2"/>
    <s v="Maria"/>
    <n v="1189833"/>
    <d v="2022-07-14T00:00:00"/>
    <d v="2022-08-13T00:00:00"/>
    <x v="0"/>
    <x v="0"/>
    <x v="2"/>
    <n v="0.5"/>
    <n v="7500"/>
    <n v="30"/>
    <n v="3750"/>
  </r>
  <r>
    <x v="2"/>
    <s v="Maria"/>
    <n v="1189833"/>
    <d v="2022-07-14T00:00:00"/>
    <d v="2022-08-13T00:00:00"/>
    <x v="0"/>
    <x v="0"/>
    <x v="3"/>
    <n v="0.45"/>
    <n v="6500"/>
    <n v="30"/>
    <n v="2925"/>
  </r>
  <r>
    <x v="2"/>
    <s v="Maria"/>
    <n v="1189833"/>
    <d v="2022-07-14T00:00:00"/>
    <d v="2022-08-13T00:00:00"/>
    <x v="0"/>
    <x v="0"/>
    <x v="4"/>
    <n v="0.5"/>
    <n v="7000"/>
    <n v="30"/>
    <n v="3500"/>
  </r>
  <r>
    <x v="2"/>
    <s v="Maria"/>
    <n v="1189833"/>
    <d v="2022-07-14T00:00:00"/>
    <d v="2022-08-13T00:00:00"/>
    <x v="0"/>
    <x v="0"/>
    <x v="5"/>
    <n v="0.65"/>
    <n v="7000"/>
    <n v="30"/>
    <n v="4550"/>
  </r>
  <r>
    <x v="2"/>
    <s v="Maria"/>
    <n v="1189833"/>
    <d v="2022-08-15T00:00:00"/>
    <d v="2022-09-14T00:00:00"/>
    <x v="0"/>
    <x v="0"/>
    <x v="0"/>
    <n v="0.5"/>
    <n v="9000"/>
    <n v="30"/>
    <n v="4500"/>
  </r>
  <r>
    <x v="2"/>
    <s v="Maria"/>
    <n v="1189833"/>
    <d v="2022-08-15T00:00:00"/>
    <d v="2022-09-14T00:00:00"/>
    <x v="0"/>
    <x v="0"/>
    <x v="1"/>
    <n v="0.55000000000000004"/>
    <n v="8500"/>
    <n v="30"/>
    <n v="4675"/>
  </r>
  <r>
    <x v="2"/>
    <s v="Maria"/>
    <n v="1189833"/>
    <d v="2022-08-15T00:00:00"/>
    <d v="2022-09-14T00:00:00"/>
    <x v="0"/>
    <x v="0"/>
    <x v="2"/>
    <n v="0.5"/>
    <n v="7250"/>
    <n v="30"/>
    <n v="3625"/>
  </r>
  <r>
    <x v="2"/>
    <s v="Maria"/>
    <n v="1189833"/>
    <d v="2022-08-15T00:00:00"/>
    <d v="2022-09-14T00:00:00"/>
    <x v="0"/>
    <x v="0"/>
    <x v="3"/>
    <n v="0.5"/>
    <n v="6750"/>
    <n v="30"/>
    <n v="3375"/>
  </r>
  <r>
    <x v="2"/>
    <s v="Maria"/>
    <n v="1189833"/>
    <d v="2022-08-15T00:00:00"/>
    <d v="2022-09-14T00:00:00"/>
    <x v="0"/>
    <x v="0"/>
    <x v="4"/>
    <n v="0.6"/>
    <n v="6750"/>
    <n v="30"/>
    <n v="4050"/>
  </r>
  <r>
    <x v="2"/>
    <s v="Maria"/>
    <n v="1189833"/>
    <d v="2022-08-15T00:00:00"/>
    <d v="2022-09-14T00:00:00"/>
    <x v="0"/>
    <x v="0"/>
    <x v="5"/>
    <n v="0.65"/>
    <n v="6500"/>
    <n v="30"/>
    <n v="4225"/>
  </r>
  <r>
    <x v="2"/>
    <s v="Maria"/>
    <n v="1189833"/>
    <d v="2022-09-16T00:00:00"/>
    <d v="2022-10-16T00:00:00"/>
    <x v="0"/>
    <x v="0"/>
    <x v="0"/>
    <n v="0.5"/>
    <n v="8500"/>
    <n v="30"/>
    <n v="4250"/>
  </r>
  <r>
    <x v="2"/>
    <s v="Maria"/>
    <n v="1189833"/>
    <d v="2022-09-16T00:00:00"/>
    <d v="2022-10-16T00:00:00"/>
    <x v="0"/>
    <x v="0"/>
    <x v="1"/>
    <n v="0.55000000000000004"/>
    <n v="8500"/>
    <n v="30"/>
    <n v="4675"/>
  </r>
  <r>
    <x v="2"/>
    <s v="Maria"/>
    <n v="1189833"/>
    <d v="2022-09-16T00:00:00"/>
    <d v="2022-10-16T00:00:00"/>
    <x v="0"/>
    <x v="0"/>
    <x v="2"/>
    <n v="0.5"/>
    <n v="7000"/>
    <n v="30"/>
    <n v="3500"/>
  </r>
  <r>
    <x v="2"/>
    <s v="Maria"/>
    <n v="1189833"/>
    <d v="2022-09-16T00:00:00"/>
    <d v="2022-10-16T00:00:00"/>
    <x v="0"/>
    <x v="0"/>
    <x v="3"/>
    <n v="0.5"/>
    <n v="6500"/>
    <n v="30"/>
    <n v="3250"/>
  </r>
  <r>
    <x v="2"/>
    <s v="Maria"/>
    <n v="1189833"/>
    <d v="2022-09-16T00:00:00"/>
    <d v="2022-10-16T00:00:00"/>
    <x v="0"/>
    <x v="0"/>
    <x v="4"/>
    <n v="0.6"/>
    <n v="6500"/>
    <n v="30"/>
    <n v="3900"/>
  </r>
  <r>
    <x v="2"/>
    <s v="Maria"/>
    <n v="1189833"/>
    <d v="2022-09-16T00:00:00"/>
    <d v="2022-10-16T00:00:00"/>
    <x v="0"/>
    <x v="0"/>
    <x v="5"/>
    <n v="0.65"/>
    <n v="7000"/>
    <n v="30"/>
    <n v="4550"/>
  </r>
  <r>
    <x v="2"/>
    <s v="Maria"/>
    <n v="1189833"/>
    <d v="2022-10-15T00:00:00"/>
    <d v="2022-11-14T00:00:00"/>
    <x v="0"/>
    <x v="0"/>
    <x v="0"/>
    <n v="0.5"/>
    <n v="8000"/>
    <n v="30"/>
    <n v="4000"/>
  </r>
  <r>
    <x v="2"/>
    <s v="Maria"/>
    <n v="1189833"/>
    <d v="2022-10-15T00:00:00"/>
    <d v="2022-11-14T00:00:00"/>
    <x v="0"/>
    <x v="0"/>
    <x v="1"/>
    <n v="0.55000000000000004"/>
    <n v="8000"/>
    <n v="30"/>
    <n v="4400"/>
  </r>
  <r>
    <x v="2"/>
    <s v="Maria"/>
    <n v="1189833"/>
    <d v="2022-10-15T00:00:00"/>
    <d v="2022-11-14T00:00:00"/>
    <x v="0"/>
    <x v="0"/>
    <x v="2"/>
    <n v="0.5"/>
    <n v="6500"/>
    <n v="30"/>
    <n v="3250"/>
  </r>
  <r>
    <x v="2"/>
    <s v="Maria"/>
    <n v="1189833"/>
    <d v="2022-10-15T00:00:00"/>
    <d v="2022-11-14T00:00:00"/>
    <x v="0"/>
    <x v="0"/>
    <x v="3"/>
    <n v="0.5"/>
    <n v="6250"/>
    <n v="30"/>
    <n v="3125"/>
  </r>
  <r>
    <x v="2"/>
    <s v="Maria"/>
    <n v="1189833"/>
    <d v="2022-10-15T00:00:00"/>
    <d v="2022-11-14T00:00:00"/>
    <x v="0"/>
    <x v="0"/>
    <x v="4"/>
    <n v="0.6"/>
    <n v="6000"/>
    <n v="30"/>
    <n v="3600"/>
  </r>
  <r>
    <x v="2"/>
    <s v="Maria"/>
    <n v="1189833"/>
    <d v="2022-10-15T00:00:00"/>
    <d v="2022-11-14T00:00:00"/>
    <x v="0"/>
    <x v="0"/>
    <x v="5"/>
    <n v="0.65"/>
    <n v="6500"/>
    <n v="30"/>
    <n v="4225"/>
  </r>
  <r>
    <x v="2"/>
    <s v="Maria"/>
    <n v="1189833"/>
    <d v="2022-11-15T00:00:00"/>
    <d v="2022-12-15T00:00:00"/>
    <x v="0"/>
    <x v="0"/>
    <x v="0"/>
    <n v="0.5"/>
    <n v="8250"/>
    <n v="30"/>
    <n v="4125"/>
  </r>
  <r>
    <x v="2"/>
    <s v="Maria"/>
    <n v="1189833"/>
    <d v="2022-11-15T00:00:00"/>
    <d v="2022-12-15T00:00:00"/>
    <x v="0"/>
    <x v="0"/>
    <x v="1"/>
    <n v="0.55000000000000004"/>
    <n v="8250"/>
    <n v="30"/>
    <n v="4537.5"/>
  </r>
  <r>
    <x v="2"/>
    <s v="Maria"/>
    <n v="1189833"/>
    <d v="2022-11-15T00:00:00"/>
    <d v="2022-12-15T00:00:00"/>
    <x v="0"/>
    <x v="0"/>
    <x v="2"/>
    <n v="0.5"/>
    <n v="6750"/>
    <n v="30"/>
    <n v="3375"/>
  </r>
  <r>
    <x v="2"/>
    <s v="Maria"/>
    <n v="1189833"/>
    <d v="2022-11-15T00:00:00"/>
    <d v="2022-12-15T00:00:00"/>
    <x v="0"/>
    <x v="0"/>
    <x v="3"/>
    <n v="0.5"/>
    <n v="6500"/>
    <n v="30"/>
    <n v="3250"/>
  </r>
  <r>
    <x v="2"/>
    <s v="Maria"/>
    <n v="1189833"/>
    <d v="2022-11-15T00:00:00"/>
    <d v="2022-12-15T00:00:00"/>
    <x v="0"/>
    <x v="0"/>
    <x v="4"/>
    <n v="0.6"/>
    <n v="6000"/>
    <n v="30"/>
    <n v="3600"/>
  </r>
  <r>
    <x v="2"/>
    <s v="Maria"/>
    <n v="1189833"/>
    <d v="2022-11-15T00:00:00"/>
    <d v="2022-12-15T00:00:00"/>
    <x v="0"/>
    <x v="0"/>
    <x v="5"/>
    <n v="0.65"/>
    <n v="7000"/>
    <n v="30"/>
    <n v="4550"/>
  </r>
  <r>
    <x v="2"/>
    <s v="Maria"/>
    <n v="1189833"/>
    <d v="2022-12-14T00:00:00"/>
    <d v="2023-01-13T00:00:00"/>
    <x v="0"/>
    <x v="0"/>
    <x v="0"/>
    <n v="0.5"/>
    <n v="9000"/>
    <n v="30"/>
    <n v="4500"/>
  </r>
  <r>
    <x v="2"/>
    <s v="Maria"/>
    <n v="1189833"/>
    <d v="2022-12-14T00:00:00"/>
    <d v="2023-01-13T00:00:00"/>
    <x v="0"/>
    <x v="0"/>
    <x v="1"/>
    <n v="0.55000000000000004"/>
    <n v="9000"/>
    <n v="30"/>
    <n v="4950"/>
  </r>
  <r>
    <x v="2"/>
    <s v="Maria"/>
    <n v="1189833"/>
    <d v="2022-12-14T00:00:00"/>
    <d v="2023-01-13T00:00:00"/>
    <x v="0"/>
    <x v="0"/>
    <x v="2"/>
    <n v="0.5"/>
    <n v="7000"/>
    <n v="30"/>
    <n v="3500"/>
  </r>
  <r>
    <x v="2"/>
    <s v="Maria"/>
    <n v="1189833"/>
    <d v="2022-12-14T00:00:00"/>
    <d v="2023-01-13T00:00:00"/>
    <x v="0"/>
    <x v="0"/>
    <x v="3"/>
    <n v="0.5"/>
    <n v="7000"/>
    <n v="30"/>
    <n v="3500"/>
  </r>
  <r>
    <x v="2"/>
    <s v="Maria"/>
    <n v="1189833"/>
    <d v="2022-12-14T00:00:00"/>
    <d v="2023-01-13T00:00:00"/>
    <x v="0"/>
    <x v="0"/>
    <x v="4"/>
    <n v="0.6"/>
    <n v="6250"/>
    <n v="30"/>
    <n v="3750"/>
  </r>
  <r>
    <x v="2"/>
    <s v="Maria"/>
    <n v="1189833"/>
    <d v="2022-12-14T00:00:00"/>
    <d v="2023-01-13T00:00:00"/>
    <x v="0"/>
    <x v="0"/>
    <x v="5"/>
    <n v="0.65"/>
    <n v="7250"/>
    <n v="30"/>
    <n v="47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E8B2F0-460D-4BA7-AAAF-6685AC4A996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Retailers">
  <location ref="A1:B5" firstHeaderRow="1" firstDataRow="1" firstDataCol="1"/>
  <pivotFields count="12">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showAll="0">
      <items count="3">
        <item x="1"/>
        <item x="0"/>
        <item t="default"/>
      </items>
    </pivotField>
    <pivotField showAll="0">
      <items count="3">
        <item x="0"/>
        <item x="1"/>
        <item t="default"/>
      </items>
    </pivotField>
    <pivotField showAll="0">
      <items count="7">
        <item x="0"/>
        <item x="5"/>
        <item x="1"/>
        <item x="3"/>
        <item x="4"/>
        <item x="2"/>
        <item t="default"/>
      </items>
    </pivotField>
    <pivotField numFmtId="164" showAll="0"/>
    <pivotField showAll="0"/>
    <pivotField showAll="0"/>
    <pivotField dataField="1" numFmtId="164" showAll="0"/>
  </pivotFields>
  <rowFields count="1">
    <field x="0"/>
  </rowFields>
  <rowItems count="4">
    <i>
      <x/>
    </i>
    <i>
      <x v="2"/>
    </i>
    <i>
      <x v="1"/>
    </i>
    <i t="grand">
      <x/>
    </i>
  </rowItems>
  <colItems count="1">
    <i/>
  </colItems>
  <dataFields count="1">
    <dataField name="Sum of Revenue" fld="11" baseField="0" baseItem="1" numFmtId="165"/>
  </dataFields>
  <formats count="12">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grandRow="1" outline="0" fieldPosition="0"/>
    </format>
    <format dxfId="83">
      <pivotArea dataOnly="0" labelOnly="1" outline="0" axis="axisValues" fieldPosition="0"/>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s>
  <chartFormats count="15">
    <chartFormat chart="30" format="9"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0" count="1" selected="0">
            <x v="1"/>
          </reference>
        </references>
      </pivotArea>
    </chartFormat>
    <chartFormat chart="31" format="3">
      <pivotArea type="data" outline="0" fieldPosition="0">
        <references count="2">
          <reference field="4294967294" count="1" selected="0">
            <x v="0"/>
          </reference>
          <reference field="0" count="1" selected="0">
            <x v="2"/>
          </reference>
        </references>
      </pivotArea>
    </chartFormat>
    <chartFormat chart="31" format="4">
      <pivotArea type="data" outline="0" fieldPosition="0">
        <references count="2">
          <reference field="4294967294" count="1" selected="0">
            <x v="0"/>
          </reference>
          <reference field="0" count="1" selected="0">
            <x v="0"/>
          </reference>
        </references>
      </pivotArea>
    </chartFormat>
    <chartFormat chart="40" format="8" series="1">
      <pivotArea type="data" outline="0" fieldPosition="0">
        <references count="1">
          <reference field="4294967294" count="1" selected="0">
            <x v="0"/>
          </reference>
        </references>
      </pivotArea>
    </chartFormat>
    <chartFormat chart="40" format="9">
      <pivotArea type="data" outline="0" fieldPosition="0">
        <references count="2">
          <reference field="4294967294" count="1" selected="0">
            <x v="0"/>
          </reference>
          <reference field="0" count="1" selected="0">
            <x v="1"/>
          </reference>
        </references>
      </pivotArea>
    </chartFormat>
    <chartFormat chart="40" format="10">
      <pivotArea type="data" outline="0" fieldPosition="0">
        <references count="2">
          <reference field="4294967294" count="1" selected="0">
            <x v="0"/>
          </reference>
          <reference field="0" count="1" selected="0">
            <x v="2"/>
          </reference>
        </references>
      </pivotArea>
    </chartFormat>
    <chartFormat chart="40" format="11">
      <pivotArea type="data" outline="0" fieldPosition="0">
        <references count="2">
          <reference field="4294967294" count="1" selected="0">
            <x v="0"/>
          </reference>
          <reference field="0" count="1" selected="0">
            <x v="0"/>
          </reference>
        </references>
      </pivotArea>
    </chartFormat>
    <chartFormat chart="53" format="4"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0"/>
          </reference>
        </references>
      </pivotArea>
    </chartFormat>
    <chartFormat chart="61" format="6" series="1">
      <pivotArea type="data" outline="0" fieldPosition="0">
        <references count="1">
          <reference field="4294967294" count="1" selected="0">
            <x v="0"/>
          </reference>
        </references>
      </pivotArea>
    </chartFormat>
    <chartFormat chart="77" format="7" series="1">
      <pivotArea type="data" outline="0" fieldPosition="0">
        <references count="1">
          <reference field="4294967294" count="1" selected="0">
            <x v="0"/>
          </reference>
        </references>
      </pivotArea>
    </chartFormat>
    <chartFormat chart="78"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197B88-60F0-4A08-83E7-69797F48E3D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everage Bramds">
  <location ref="A3:B10" firstHeaderRow="1" firstDataRow="1" firstDataCol="1" rowPageCount="1" colPageCount="1"/>
  <pivotFields count="12">
    <pivotField axis="axisPage" showAll="0">
      <items count="4">
        <item x="0"/>
        <item x="1"/>
        <item x="2"/>
        <item t="default"/>
      </items>
    </pivotField>
    <pivotField showAll="0"/>
    <pivotField showAll="0"/>
    <pivotField numFmtId="14" showAll="0"/>
    <pivotField numFmtId="14" showAll="0"/>
    <pivotField showAll="0">
      <items count="3">
        <item x="1"/>
        <item x="0"/>
        <item t="default"/>
      </items>
    </pivotField>
    <pivotField showAll="0">
      <items count="3">
        <item x="0"/>
        <item x="1"/>
        <item t="default"/>
      </items>
    </pivotField>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164" showAll="0"/>
    <pivotField dataField="1" showAll="0"/>
    <pivotField showAll="0"/>
    <pivotField numFmtId="164" showAll="0"/>
  </pivotFields>
  <rowFields count="1">
    <field x="7"/>
  </rowFields>
  <rowItems count="7">
    <i>
      <x/>
    </i>
    <i>
      <x v="2"/>
    </i>
    <i>
      <x v="5"/>
    </i>
    <i>
      <x v="1"/>
    </i>
    <i>
      <x v="3"/>
    </i>
    <i>
      <x v="4"/>
    </i>
    <i t="grand">
      <x/>
    </i>
  </rowItems>
  <colItems count="1">
    <i/>
  </colItems>
  <pageFields count="1">
    <pageField fld="0" hier="-1"/>
  </pageFields>
  <dataFields count="1">
    <dataField name="Sum of Units Sold" fld="9" baseField="7" baseItem="0" numFmtId="3"/>
  </dataFields>
  <formats count="12">
    <format dxfId="94">
      <pivotArea type="all" dataOnly="0" outline="0" fieldPosition="0"/>
    </format>
    <format dxfId="93">
      <pivotArea outline="0" collapsedLevelsAreSubtotals="1" fieldPosition="0"/>
    </format>
    <format dxfId="92">
      <pivotArea field="7" type="button" dataOnly="0" labelOnly="1" outline="0" axis="axisRow" fieldPosition="0"/>
    </format>
    <format dxfId="91">
      <pivotArea dataOnly="0" labelOnly="1" fieldPosition="0">
        <references count="1">
          <reference field="7" count="0"/>
        </references>
      </pivotArea>
    </format>
    <format dxfId="90">
      <pivotArea dataOnly="0" labelOnly="1" grandRow="1" outline="0" fieldPosition="0"/>
    </format>
    <format dxfId="89">
      <pivotArea dataOnly="0" labelOnly="1" outline="0" axis="axisValues"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grandRow="1" outline="0" fieldPosition="0"/>
    </format>
    <format dxfId="1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E2E874-6DA6-43DA-ADED-6753F4EFE82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2">
    <pivotField showAll="0">
      <items count="4">
        <item x="0"/>
        <item x="1"/>
        <item x="2"/>
        <item t="default"/>
      </items>
    </pivotField>
    <pivotField showAll="0"/>
    <pivotField showAll="0"/>
    <pivotField numFmtId="14" showAll="0"/>
    <pivotField numFmtId="14" showAll="0"/>
    <pivotField showAll="0">
      <items count="3">
        <item x="1"/>
        <item x="0"/>
        <item t="default"/>
      </items>
    </pivotField>
    <pivotField showAll="0"/>
    <pivotField showAll="0">
      <items count="7">
        <item x="0"/>
        <item x="5"/>
        <item x="1"/>
        <item x="3"/>
        <item x="4"/>
        <item x="2"/>
        <item t="default"/>
      </items>
    </pivotField>
    <pivotField numFmtId="164" showAll="0"/>
    <pivotField dataField="1" showAll="0"/>
    <pivotField dataField="1" showAll="0"/>
    <pivotField dataField="1" numFmtId="164" showAll="0"/>
  </pivotFields>
  <rowItems count="1">
    <i/>
  </rowItems>
  <colFields count="1">
    <field x="-2"/>
  </colFields>
  <colItems count="3">
    <i>
      <x/>
    </i>
    <i i="1">
      <x v="1"/>
    </i>
    <i i="2">
      <x v="2"/>
    </i>
  </colItems>
  <dataFields count="3">
    <dataField name="Sum of Revenu" fld="11" baseField="0" baseItem="2" numFmtId="44"/>
    <dataField name="Sum of Units Sold" fld="9" baseField="0" baseItem="2" numFmtId="169"/>
    <dataField name="Average of Days from order to pay" fld="10" subtotal="average" baseField="0" baseItem="2" numFmtId="3"/>
  </dataFields>
  <formats count="10">
    <format dxfId="81">
      <pivotArea outline="0" collapsedLevelsAreSubtotals="1" fieldPosition="0">
        <references count="1">
          <reference field="4294967294" count="1" selected="0">
            <x v="0"/>
          </reference>
        </references>
      </pivotArea>
    </format>
    <format dxfId="80">
      <pivotArea type="all" dataOnly="0" outline="0" fieldPosition="0"/>
    </format>
    <format dxfId="79">
      <pivotArea outline="0" collapsedLevelsAreSubtotals="1" fieldPosition="0"/>
    </format>
    <format dxfId="78">
      <pivotArea dataOnly="0" labelOnly="1" outline="0" fieldPosition="0">
        <references count="1">
          <reference field="4294967294" count="3">
            <x v="0"/>
            <x v="1"/>
            <x v="2"/>
          </reference>
        </references>
      </pivotArea>
    </format>
    <format dxfId="77">
      <pivotArea outline="0" collapsedLevelsAreSubtotals="1" fieldPosition="0">
        <references count="1">
          <reference field="4294967294" count="1" selected="0">
            <x v="2"/>
          </reference>
        </references>
      </pivotArea>
    </format>
    <format dxfId="37">
      <pivotArea outline="0" collapsedLevelsAreSubtotals="1" fieldPosition="0">
        <references count="1">
          <reference field="4294967294" count="1" selected="0">
            <x v="1"/>
          </reference>
        </references>
      </pivotArea>
    </format>
    <format dxfId="30">
      <pivotArea outline="0" fieldPosition="0">
        <references count="1">
          <reference field="4294967294" count="1">
            <x v="1"/>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E55AB20-66CE-47B7-B5E2-B6CEF8B2A5C1}" autoFormatId="16" applyNumberFormats="0" applyBorderFormats="0" applyFontFormats="0" applyPatternFormats="0" applyAlignmentFormats="0" applyWidthHeightFormats="0">
  <queryTableRefresh nextId="13">
    <queryTableFields count="12">
      <queryTableField id="1" name="Retailer" tableColumnId="1"/>
      <queryTableField id="2" name="Contact" tableColumnId="2"/>
      <queryTableField id="3" name="Retailer ID" tableColumnId="3"/>
      <queryTableField id="4" name="Order Date" tableColumnId="4"/>
      <queryTableField id="5" name="Payment Date" tableColumnId="5"/>
      <queryTableField id="6" name="Regions" tableColumnId="6"/>
      <queryTableField id="7" name="State" tableColumnId="7"/>
      <queryTableField id="8" name="Beverage Brand" tableColumnId="8"/>
      <queryTableField id="9" name="Price per Unit" tableColumnId="9"/>
      <queryTableField id="10" name="Units Sold" tableColumnId="10"/>
      <queryTableField id="11" name="Days from order to pay" tableColumnId="11"/>
      <queryTableField id="12" name="Total Sal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A4F5F7F9-A6CF-4957-A2C2-71AED6BCCE6F}" sourceName="Retailer">
  <pivotTables>
    <pivotTable tabId="3" name="PivotTable1"/>
    <pivotTable tabId="14" name="PivotTable1"/>
    <pivotTable tabId="13" name="PivotTable1"/>
  </pivotTables>
  <data>
    <tabular pivotCacheId="20988410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s" xr10:uid="{EF0CACCF-B340-409C-A6D9-2C5972790B05}" sourceName="Regions">
  <pivotTables>
    <pivotTable tabId="3" name="PivotTable1"/>
    <pivotTable tabId="14" name="PivotTable1"/>
    <pivotTable tabId="13" name="PivotTable1"/>
  </pivotTables>
  <data>
    <tabular pivotCacheId="20988410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A44FAD34-0F32-4912-9BC5-8C664B0B3D42}" sourceName="Beverage Brand">
  <pivotTables>
    <pivotTable tabId="3" name="PivotTable1"/>
    <pivotTable tabId="14" name="PivotTable1"/>
    <pivotTable tabId="13" name="PivotTable1"/>
  </pivotTables>
  <data>
    <tabular pivotCacheId="2098841098">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5E6DA337-72A7-46F7-9AE3-319136705E99}" cache="Slicer_Retailer" caption="Retailer" style="SlicerStyleOther1" rowHeight="234950"/>
  <slicer name="Regions" xr10:uid="{DB19E927-F882-4831-BEDE-213B4999FD14}" cache="Slicer_Regions" caption="Regions" style="SlicerStyleOther1" rowHeight="234950"/>
  <slicer name="Beverage Brand" xr10:uid="{8A9A4729-ACE7-4AB0-B848-69D47C61D98A}" cache="Slicer_Beverage_Brand" caption="Beverage Brand"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E0C95C-95FF-4E5D-A22E-D1A772DCC2E2}" name="Retailers" displayName="Retailers" ref="A1:L217" tableType="queryTable" totalsRowShown="0" headerRowDxfId="82" dataDxfId="3">
  <autoFilter ref="A1:L217" xr:uid="{FEE0C95C-95FF-4E5D-A22E-D1A772DCC2E2}"/>
  <tableColumns count="12">
    <tableColumn id="1" xr3:uid="{D102297C-FDE4-4398-ADC5-6CA076BA3E6C}" uniqueName="1" name="Retailer" queryTableFieldId="1" dataDxfId="15"/>
    <tableColumn id="2" xr3:uid="{3F39104C-4CEB-4E5F-B477-7DDFE42C7020}" uniqueName="2" name="Contact" queryTableFieldId="2" dataDxfId="14"/>
    <tableColumn id="3" xr3:uid="{5459D5C7-1A26-4D6B-B88D-1314F31C4105}" uniqueName="3" name="Retailer ID" queryTableFieldId="3" dataDxfId="13"/>
    <tableColumn id="4" xr3:uid="{458BD0EB-6EC2-4791-8214-1DAA3118D49F}" uniqueName="4" name="Order Date" queryTableFieldId="4" dataDxfId="12"/>
    <tableColumn id="5" xr3:uid="{BD5EA034-613A-4E26-8567-D079CC1C37E2}" uniqueName="5" name="Payment Date" queryTableFieldId="5" dataDxfId="11"/>
    <tableColumn id="6" xr3:uid="{0F544716-D353-4779-AFCE-B869A49FAC53}" uniqueName="6" name="Regions" queryTableFieldId="6" dataDxfId="10"/>
    <tableColumn id="7" xr3:uid="{937F23F7-9F80-4000-A077-55B788E2F79B}" uniqueName="7" name="State" queryTableFieldId="7" dataDxfId="9"/>
    <tableColumn id="8" xr3:uid="{7A2A1F32-4EA5-43E8-B985-55723E82DA8D}" uniqueName="8" name="Beverage Brand" queryTableFieldId="8" dataDxfId="8"/>
    <tableColumn id="9" xr3:uid="{F8F6E7B9-2F83-4B2A-A05C-7629EED181CA}" uniqueName="9" name="Price per Unit" queryTableFieldId="9" dataDxfId="7"/>
    <tableColumn id="10" xr3:uid="{051540A8-F0A6-435E-BA66-737EF782AA2A}" uniqueName="10" name="Units Sold" queryTableFieldId="10" dataDxfId="6"/>
    <tableColumn id="11" xr3:uid="{51F4ABBE-0C9B-43D3-85FD-F6E26A491469}" uniqueName="11" name="Days from order to pay" queryTableFieldId="11" dataDxfId="5"/>
    <tableColumn id="12" xr3:uid="{34B7CE4D-626A-45DC-9C94-BD3598F6C860}" uniqueName="12" name="Revenue" queryTableFieldId="12" dataDxfId="4"/>
  </tableColumns>
  <tableStyleInfo name="TableStyleMedium6"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4F6B-DAD8-40FD-A60E-4893A686120A}">
  <dimension ref="A1:L217"/>
  <sheetViews>
    <sheetView topLeftCell="A2" workbookViewId="0">
      <selection activeCell="A2" sqref="A2"/>
    </sheetView>
  </sheetViews>
  <sheetFormatPr defaultRowHeight="13.8" x14ac:dyDescent="0.3"/>
  <cols>
    <col min="1" max="1" width="11.44140625" customWidth="1"/>
    <col min="2" max="2" width="12.109375" customWidth="1"/>
    <col min="3" max="3" width="13.77734375" customWidth="1"/>
    <col min="4" max="4" width="14.77734375" customWidth="1"/>
    <col min="5" max="5" width="17.44140625" customWidth="1"/>
    <col min="6" max="6" width="11.88671875" customWidth="1"/>
    <col min="7" max="7" width="9.33203125" customWidth="1"/>
    <col min="8" max="8" width="19.33203125" customWidth="1"/>
    <col min="9" max="9" width="16.5546875" customWidth="1"/>
    <col min="10" max="10" width="13.21875" customWidth="1"/>
    <col min="11" max="11" width="25.44140625" customWidth="1"/>
    <col min="12" max="12" width="14.109375" customWidth="1"/>
  </cols>
  <sheetData>
    <row r="1" spans="1:12" s="3" customFormat="1" ht="14.4" x14ac:dyDescent="0.3">
      <c r="A1" s="3" t="s">
        <v>0</v>
      </c>
      <c r="B1" s="3" t="s">
        <v>1</v>
      </c>
      <c r="C1" s="3" t="s">
        <v>2</v>
      </c>
      <c r="D1" s="3" t="s">
        <v>3</v>
      </c>
      <c r="E1" s="3" t="s">
        <v>4</v>
      </c>
      <c r="F1" s="3" t="s">
        <v>5</v>
      </c>
      <c r="G1" s="3" t="s">
        <v>6</v>
      </c>
      <c r="H1" s="3" t="s">
        <v>7</v>
      </c>
      <c r="I1" s="4" t="s">
        <v>8</v>
      </c>
      <c r="J1" s="3" t="s">
        <v>9</v>
      </c>
      <c r="K1" s="3" t="s">
        <v>10</v>
      </c>
      <c r="L1" s="4" t="s">
        <v>32</v>
      </c>
    </row>
    <row r="2" spans="1:12" ht="14.4" x14ac:dyDescent="0.3">
      <c r="A2" s="13" t="s">
        <v>11</v>
      </c>
      <c r="B2" s="13" t="s">
        <v>12</v>
      </c>
      <c r="C2" s="13">
        <v>1128299</v>
      </c>
      <c r="D2" s="14">
        <v>44581</v>
      </c>
      <c r="E2" s="14">
        <v>44611</v>
      </c>
      <c r="F2" s="13" t="s">
        <v>13</v>
      </c>
      <c r="G2" s="13" t="s">
        <v>14</v>
      </c>
      <c r="H2" s="13" t="s">
        <v>15</v>
      </c>
      <c r="I2" s="15">
        <v>0.4</v>
      </c>
      <c r="J2" s="13">
        <v>7750</v>
      </c>
      <c r="K2" s="13">
        <v>30</v>
      </c>
      <c r="L2" s="15">
        <v>3100</v>
      </c>
    </row>
    <row r="3" spans="1:12" ht="14.4" x14ac:dyDescent="0.3">
      <c r="A3" s="13" t="s">
        <v>11</v>
      </c>
      <c r="B3" s="13" t="s">
        <v>12</v>
      </c>
      <c r="C3" s="13">
        <v>1128299</v>
      </c>
      <c r="D3" s="14">
        <v>44581</v>
      </c>
      <c r="E3" s="14">
        <v>44646</v>
      </c>
      <c r="F3" s="13" t="s">
        <v>13</v>
      </c>
      <c r="G3" s="13" t="s">
        <v>14</v>
      </c>
      <c r="H3" s="13" t="s">
        <v>16</v>
      </c>
      <c r="I3" s="15">
        <v>0.5</v>
      </c>
      <c r="J3" s="13">
        <v>7750</v>
      </c>
      <c r="K3" s="13">
        <v>65</v>
      </c>
      <c r="L3" s="15">
        <v>3875</v>
      </c>
    </row>
    <row r="4" spans="1:12" ht="14.4" x14ac:dyDescent="0.3">
      <c r="A4" s="13" t="s">
        <v>11</v>
      </c>
      <c r="B4" s="13" t="s">
        <v>12</v>
      </c>
      <c r="C4" s="13">
        <v>1128299</v>
      </c>
      <c r="D4" s="14">
        <v>44581</v>
      </c>
      <c r="E4" s="14">
        <v>44646</v>
      </c>
      <c r="F4" s="13" t="s">
        <v>13</v>
      </c>
      <c r="G4" s="13" t="s">
        <v>14</v>
      </c>
      <c r="H4" s="13" t="s">
        <v>17</v>
      </c>
      <c r="I4" s="15">
        <v>0.5</v>
      </c>
      <c r="J4" s="13">
        <v>7750</v>
      </c>
      <c r="K4" s="13">
        <v>65</v>
      </c>
      <c r="L4" s="15">
        <v>3875</v>
      </c>
    </row>
    <row r="5" spans="1:12" ht="14.4" x14ac:dyDescent="0.3">
      <c r="A5" s="13" t="s">
        <v>11</v>
      </c>
      <c r="B5" s="13" t="s">
        <v>12</v>
      </c>
      <c r="C5" s="13">
        <v>1128299</v>
      </c>
      <c r="D5" s="14">
        <v>44581</v>
      </c>
      <c r="E5" s="14">
        <v>44618</v>
      </c>
      <c r="F5" s="13" t="s">
        <v>13</v>
      </c>
      <c r="G5" s="13" t="s">
        <v>14</v>
      </c>
      <c r="H5" s="13" t="s">
        <v>18</v>
      </c>
      <c r="I5" s="15">
        <v>0.5</v>
      </c>
      <c r="J5" s="13">
        <v>6250</v>
      </c>
      <c r="K5" s="13">
        <v>37</v>
      </c>
      <c r="L5" s="15">
        <v>3125</v>
      </c>
    </row>
    <row r="6" spans="1:12" ht="14.4" x14ac:dyDescent="0.3">
      <c r="A6" s="13" t="s">
        <v>11</v>
      </c>
      <c r="B6" s="13" t="s">
        <v>12</v>
      </c>
      <c r="C6" s="13">
        <v>1128299</v>
      </c>
      <c r="D6" s="14">
        <v>44581</v>
      </c>
      <c r="E6" s="14">
        <v>44611</v>
      </c>
      <c r="F6" s="13" t="s">
        <v>13</v>
      </c>
      <c r="G6" s="13" t="s">
        <v>14</v>
      </c>
      <c r="H6" s="13" t="s">
        <v>19</v>
      </c>
      <c r="I6" s="15">
        <v>0.55000000000000004</v>
      </c>
      <c r="J6" s="13">
        <v>5750</v>
      </c>
      <c r="K6" s="13">
        <v>30</v>
      </c>
      <c r="L6" s="15">
        <v>3162.5</v>
      </c>
    </row>
    <row r="7" spans="1:12" ht="14.4" x14ac:dyDescent="0.3">
      <c r="A7" s="13" t="s">
        <v>11</v>
      </c>
      <c r="B7" s="13" t="s">
        <v>12</v>
      </c>
      <c r="C7" s="13">
        <v>1128299</v>
      </c>
      <c r="D7" s="14">
        <v>44581</v>
      </c>
      <c r="E7" s="14">
        <v>44611</v>
      </c>
      <c r="F7" s="13" t="s">
        <v>13</v>
      </c>
      <c r="G7" s="13" t="s">
        <v>14</v>
      </c>
      <c r="H7" s="13" t="s">
        <v>20</v>
      </c>
      <c r="I7" s="15">
        <v>0.5</v>
      </c>
      <c r="J7" s="13">
        <v>7750</v>
      </c>
      <c r="K7" s="13">
        <v>30</v>
      </c>
      <c r="L7" s="15">
        <v>3875</v>
      </c>
    </row>
    <row r="8" spans="1:12" ht="14.4" x14ac:dyDescent="0.3">
      <c r="A8" s="13" t="s">
        <v>11</v>
      </c>
      <c r="B8" s="13" t="s">
        <v>12</v>
      </c>
      <c r="C8" s="13">
        <v>1128299</v>
      </c>
      <c r="D8" s="14">
        <v>44612</v>
      </c>
      <c r="E8" s="14">
        <v>44642</v>
      </c>
      <c r="F8" s="13" t="s">
        <v>13</v>
      </c>
      <c r="G8" s="13" t="s">
        <v>14</v>
      </c>
      <c r="H8" s="13" t="s">
        <v>15</v>
      </c>
      <c r="I8" s="15">
        <v>0.4</v>
      </c>
      <c r="J8" s="13">
        <v>8250</v>
      </c>
      <c r="K8" s="13">
        <v>30</v>
      </c>
      <c r="L8" s="15">
        <v>3300</v>
      </c>
    </row>
    <row r="9" spans="1:12" ht="14.4" x14ac:dyDescent="0.3">
      <c r="A9" s="13" t="s">
        <v>11</v>
      </c>
      <c r="B9" s="13" t="s">
        <v>12</v>
      </c>
      <c r="C9" s="13">
        <v>1128299</v>
      </c>
      <c r="D9" s="14">
        <v>44612</v>
      </c>
      <c r="E9" s="14">
        <v>44642</v>
      </c>
      <c r="F9" s="13" t="s">
        <v>13</v>
      </c>
      <c r="G9" s="13" t="s">
        <v>14</v>
      </c>
      <c r="H9" s="13" t="s">
        <v>16</v>
      </c>
      <c r="I9" s="15">
        <v>0.5</v>
      </c>
      <c r="J9" s="13">
        <v>7250</v>
      </c>
      <c r="K9" s="13">
        <v>30</v>
      </c>
      <c r="L9" s="15">
        <v>3625</v>
      </c>
    </row>
    <row r="10" spans="1:12" ht="14.4" x14ac:dyDescent="0.3">
      <c r="A10" s="13" t="s">
        <v>11</v>
      </c>
      <c r="B10" s="13" t="s">
        <v>12</v>
      </c>
      <c r="C10" s="13">
        <v>1128299</v>
      </c>
      <c r="D10" s="14">
        <v>44612</v>
      </c>
      <c r="E10" s="14">
        <v>44642</v>
      </c>
      <c r="F10" s="13" t="s">
        <v>13</v>
      </c>
      <c r="G10" s="13" t="s">
        <v>14</v>
      </c>
      <c r="H10" s="13" t="s">
        <v>17</v>
      </c>
      <c r="I10" s="15">
        <v>0.5</v>
      </c>
      <c r="J10" s="13">
        <v>7250</v>
      </c>
      <c r="K10" s="13">
        <v>30</v>
      </c>
      <c r="L10" s="15">
        <v>3625</v>
      </c>
    </row>
    <row r="11" spans="1:12" ht="14.4" x14ac:dyDescent="0.3">
      <c r="A11" s="13" t="s">
        <v>11</v>
      </c>
      <c r="B11" s="13" t="s">
        <v>12</v>
      </c>
      <c r="C11" s="13">
        <v>1128299</v>
      </c>
      <c r="D11" s="14">
        <v>44612</v>
      </c>
      <c r="E11" s="14">
        <v>44642</v>
      </c>
      <c r="F11" s="13" t="s">
        <v>13</v>
      </c>
      <c r="G11" s="13" t="s">
        <v>14</v>
      </c>
      <c r="H11" s="13" t="s">
        <v>18</v>
      </c>
      <c r="I11" s="15">
        <v>0.5</v>
      </c>
      <c r="J11" s="13">
        <v>5750</v>
      </c>
      <c r="K11" s="13">
        <v>30</v>
      </c>
      <c r="L11" s="15">
        <v>2875</v>
      </c>
    </row>
    <row r="12" spans="1:12" ht="14.4" x14ac:dyDescent="0.3">
      <c r="A12" s="13" t="s">
        <v>11</v>
      </c>
      <c r="B12" s="13" t="s">
        <v>12</v>
      </c>
      <c r="C12" s="13">
        <v>1128299</v>
      </c>
      <c r="D12" s="14">
        <v>44612</v>
      </c>
      <c r="E12" s="14">
        <v>44645</v>
      </c>
      <c r="F12" s="13" t="s">
        <v>13</v>
      </c>
      <c r="G12" s="13" t="s">
        <v>14</v>
      </c>
      <c r="H12" s="13" t="s">
        <v>19</v>
      </c>
      <c r="I12" s="15">
        <v>0.55000000000000004</v>
      </c>
      <c r="J12" s="13">
        <v>5000</v>
      </c>
      <c r="K12" s="13">
        <v>33</v>
      </c>
      <c r="L12" s="15">
        <v>2750</v>
      </c>
    </row>
    <row r="13" spans="1:12" ht="14.4" x14ac:dyDescent="0.3">
      <c r="A13" s="13" t="s">
        <v>11</v>
      </c>
      <c r="B13" s="13" t="s">
        <v>12</v>
      </c>
      <c r="C13" s="13">
        <v>1128299</v>
      </c>
      <c r="D13" s="14">
        <v>44612</v>
      </c>
      <c r="E13" s="14">
        <v>44642</v>
      </c>
      <c r="F13" s="13" t="s">
        <v>13</v>
      </c>
      <c r="G13" s="13" t="s">
        <v>14</v>
      </c>
      <c r="H13" s="13" t="s">
        <v>20</v>
      </c>
      <c r="I13" s="15">
        <v>0.5</v>
      </c>
      <c r="J13" s="13">
        <v>7000</v>
      </c>
      <c r="K13" s="13">
        <v>30</v>
      </c>
      <c r="L13" s="15">
        <v>3500</v>
      </c>
    </row>
    <row r="14" spans="1:12" ht="14.4" x14ac:dyDescent="0.3">
      <c r="A14" s="13" t="s">
        <v>11</v>
      </c>
      <c r="B14" s="13" t="s">
        <v>12</v>
      </c>
      <c r="C14" s="13">
        <v>1128299</v>
      </c>
      <c r="D14" s="14">
        <v>44639</v>
      </c>
      <c r="E14" s="14">
        <v>44669</v>
      </c>
      <c r="F14" s="13" t="s">
        <v>13</v>
      </c>
      <c r="G14" s="13" t="s">
        <v>14</v>
      </c>
      <c r="H14" s="13" t="s">
        <v>15</v>
      </c>
      <c r="I14" s="15">
        <v>0.5</v>
      </c>
      <c r="J14" s="13">
        <v>8500</v>
      </c>
      <c r="K14" s="13">
        <v>30</v>
      </c>
      <c r="L14" s="15">
        <v>4250</v>
      </c>
    </row>
    <row r="15" spans="1:12" ht="14.4" x14ac:dyDescent="0.3">
      <c r="A15" s="13" t="s">
        <v>11</v>
      </c>
      <c r="B15" s="13" t="s">
        <v>12</v>
      </c>
      <c r="C15" s="13">
        <v>1128299</v>
      </c>
      <c r="D15" s="14">
        <v>44639</v>
      </c>
      <c r="E15" s="14">
        <v>44669</v>
      </c>
      <c r="F15" s="13" t="s">
        <v>13</v>
      </c>
      <c r="G15" s="13" t="s">
        <v>14</v>
      </c>
      <c r="H15" s="13" t="s">
        <v>16</v>
      </c>
      <c r="I15" s="15">
        <v>0.6</v>
      </c>
      <c r="J15" s="13">
        <v>7000</v>
      </c>
      <c r="K15" s="13">
        <v>30</v>
      </c>
      <c r="L15" s="15">
        <v>4200</v>
      </c>
    </row>
    <row r="16" spans="1:12" ht="14.4" x14ac:dyDescent="0.3">
      <c r="A16" s="13" t="s">
        <v>11</v>
      </c>
      <c r="B16" s="13" t="s">
        <v>12</v>
      </c>
      <c r="C16" s="13">
        <v>1128299</v>
      </c>
      <c r="D16" s="14">
        <v>44639</v>
      </c>
      <c r="E16" s="14">
        <v>44669</v>
      </c>
      <c r="F16" s="13" t="s">
        <v>13</v>
      </c>
      <c r="G16" s="13" t="s">
        <v>14</v>
      </c>
      <c r="H16" s="13" t="s">
        <v>17</v>
      </c>
      <c r="I16" s="15">
        <v>0.6</v>
      </c>
      <c r="J16" s="13">
        <v>7000</v>
      </c>
      <c r="K16" s="13">
        <v>30</v>
      </c>
      <c r="L16" s="15">
        <v>4200</v>
      </c>
    </row>
    <row r="17" spans="1:12" ht="14.4" x14ac:dyDescent="0.3">
      <c r="A17" s="13" t="s">
        <v>11</v>
      </c>
      <c r="B17" s="13" t="s">
        <v>12</v>
      </c>
      <c r="C17" s="13">
        <v>1128299</v>
      </c>
      <c r="D17" s="14">
        <v>44639</v>
      </c>
      <c r="E17" s="14">
        <v>44669</v>
      </c>
      <c r="F17" s="13" t="s">
        <v>13</v>
      </c>
      <c r="G17" s="13" t="s">
        <v>14</v>
      </c>
      <c r="H17" s="13" t="s">
        <v>18</v>
      </c>
      <c r="I17" s="15">
        <v>0.6</v>
      </c>
      <c r="J17" s="13">
        <v>6000</v>
      </c>
      <c r="K17" s="13">
        <v>30</v>
      </c>
      <c r="L17" s="15">
        <v>3600</v>
      </c>
    </row>
    <row r="18" spans="1:12" ht="14.4" x14ac:dyDescent="0.3">
      <c r="A18" s="13" t="s">
        <v>11</v>
      </c>
      <c r="B18" s="13" t="s">
        <v>12</v>
      </c>
      <c r="C18" s="13">
        <v>1128299</v>
      </c>
      <c r="D18" s="14">
        <v>44639</v>
      </c>
      <c r="E18" s="14">
        <v>44669</v>
      </c>
      <c r="F18" s="13" t="s">
        <v>13</v>
      </c>
      <c r="G18" s="13" t="s">
        <v>14</v>
      </c>
      <c r="H18" s="13" t="s">
        <v>19</v>
      </c>
      <c r="I18" s="15">
        <v>0.65</v>
      </c>
      <c r="J18" s="13">
        <v>5000</v>
      </c>
      <c r="K18" s="13">
        <v>30</v>
      </c>
      <c r="L18" s="15">
        <v>3250</v>
      </c>
    </row>
    <row r="19" spans="1:12" ht="14.4" x14ac:dyDescent="0.3">
      <c r="A19" s="13" t="s">
        <v>11</v>
      </c>
      <c r="B19" s="13" t="s">
        <v>12</v>
      </c>
      <c r="C19" s="13">
        <v>1128299</v>
      </c>
      <c r="D19" s="14">
        <v>44639</v>
      </c>
      <c r="E19" s="14">
        <v>44669</v>
      </c>
      <c r="F19" s="13" t="s">
        <v>13</v>
      </c>
      <c r="G19" s="13" t="s">
        <v>14</v>
      </c>
      <c r="H19" s="13" t="s">
        <v>20</v>
      </c>
      <c r="I19" s="15">
        <v>0.6</v>
      </c>
      <c r="J19" s="13">
        <v>7000</v>
      </c>
      <c r="K19" s="13">
        <v>30</v>
      </c>
      <c r="L19" s="15">
        <v>4200</v>
      </c>
    </row>
    <row r="20" spans="1:12" ht="14.4" x14ac:dyDescent="0.3">
      <c r="A20" s="13" t="s">
        <v>11</v>
      </c>
      <c r="B20" s="13" t="s">
        <v>12</v>
      </c>
      <c r="C20" s="13">
        <v>1128299</v>
      </c>
      <c r="D20" s="14">
        <v>44671</v>
      </c>
      <c r="E20" s="14">
        <v>44701</v>
      </c>
      <c r="F20" s="13" t="s">
        <v>13</v>
      </c>
      <c r="G20" s="13" t="s">
        <v>14</v>
      </c>
      <c r="H20" s="13" t="s">
        <v>15</v>
      </c>
      <c r="I20" s="15">
        <v>0.6</v>
      </c>
      <c r="J20" s="13">
        <v>8750</v>
      </c>
      <c r="K20" s="13">
        <v>30</v>
      </c>
      <c r="L20" s="15">
        <v>5250</v>
      </c>
    </row>
    <row r="21" spans="1:12" ht="14.4" x14ac:dyDescent="0.3">
      <c r="A21" s="13" t="s">
        <v>11</v>
      </c>
      <c r="B21" s="13" t="s">
        <v>12</v>
      </c>
      <c r="C21" s="13">
        <v>1128299</v>
      </c>
      <c r="D21" s="14">
        <v>44671</v>
      </c>
      <c r="E21" s="14">
        <v>44701</v>
      </c>
      <c r="F21" s="13" t="s">
        <v>13</v>
      </c>
      <c r="G21" s="13" t="s">
        <v>14</v>
      </c>
      <c r="H21" s="13" t="s">
        <v>16</v>
      </c>
      <c r="I21" s="15">
        <v>0.65</v>
      </c>
      <c r="J21" s="13">
        <v>6750</v>
      </c>
      <c r="K21" s="13">
        <v>30</v>
      </c>
      <c r="L21" s="15">
        <v>4387.5</v>
      </c>
    </row>
    <row r="22" spans="1:12" ht="14.4" x14ac:dyDescent="0.3">
      <c r="A22" s="13" t="s">
        <v>11</v>
      </c>
      <c r="B22" s="13" t="s">
        <v>12</v>
      </c>
      <c r="C22" s="13">
        <v>1128299</v>
      </c>
      <c r="D22" s="14">
        <v>44671</v>
      </c>
      <c r="E22" s="14">
        <v>44701</v>
      </c>
      <c r="F22" s="13" t="s">
        <v>13</v>
      </c>
      <c r="G22" s="13" t="s">
        <v>14</v>
      </c>
      <c r="H22" s="13" t="s">
        <v>17</v>
      </c>
      <c r="I22" s="15">
        <v>0.65</v>
      </c>
      <c r="J22" s="13">
        <v>7250</v>
      </c>
      <c r="K22" s="13">
        <v>30</v>
      </c>
      <c r="L22" s="15">
        <v>4712.5</v>
      </c>
    </row>
    <row r="23" spans="1:12" ht="14.4" x14ac:dyDescent="0.3">
      <c r="A23" s="13" t="s">
        <v>11</v>
      </c>
      <c r="B23" s="13" t="s">
        <v>12</v>
      </c>
      <c r="C23" s="13">
        <v>1128299</v>
      </c>
      <c r="D23" s="14">
        <v>44671</v>
      </c>
      <c r="E23" s="14">
        <v>44701</v>
      </c>
      <c r="F23" s="13" t="s">
        <v>13</v>
      </c>
      <c r="G23" s="13" t="s">
        <v>14</v>
      </c>
      <c r="H23" s="13" t="s">
        <v>18</v>
      </c>
      <c r="I23" s="15">
        <v>0.6</v>
      </c>
      <c r="J23" s="13">
        <v>6250</v>
      </c>
      <c r="K23" s="13">
        <v>30</v>
      </c>
      <c r="L23" s="15">
        <v>3750</v>
      </c>
    </row>
    <row r="24" spans="1:12" ht="14.4" x14ac:dyDescent="0.3">
      <c r="A24" s="13" t="s">
        <v>11</v>
      </c>
      <c r="B24" s="13" t="s">
        <v>12</v>
      </c>
      <c r="C24" s="13">
        <v>1128299</v>
      </c>
      <c r="D24" s="14">
        <v>44671</v>
      </c>
      <c r="E24" s="14">
        <v>44701</v>
      </c>
      <c r="F24" s="13" t="s">
        <v>13</v>
      </c>
      <c r="G24" s="13" t="s">
        <v>14</v>
      </c>
      <c r="H24" s="13" t="s">
        <v>19</v>
      </c>
      <c r="I24" s="15">
        <v>0.65</v>
      </c>
      <c r="J24" s="13">
        <v>5250</v>
      </c>
      <c r="K24" s="13">
        <v>30</v>
      </c>
      <c r="L24" s="15">
        <v>3412.5</v>
      </c>
    </row>
    <row r="25" spans="1:12" ht="14.4" x14ac:dyDescent="0.3">
      <c r="A25" s="13" t="s">
        <v>11</v>
      </c>
      <c r="B25" s="13" t="s">
        <v>12</v>
      </c>
      <c r="C25" s="13">
        <v>1128299</v>
      </c>
      <c r="D25" s="14">
        <v>44671</v>
      </c>
      <c r="E25" s="14">
        <v>44701</v>
      </c>
      <c r="F25" s="13" t="s">
        <v>13</v>
      </c>
      <c r="G25" s="13" t="s">
        <v>14</v>
      </c>
      <c r="H25" s="13" t="s">
        <v>20</v>
      </c>
      <c r="I25" s="15">
        <v>0.8</v>
      </c>
      <c r="J25" s="13">
        <v>7000</v>
      </c>
      <c r="K25" s="13">
        <v>30</v>
      </c>
      <c r="L25" s="15">
        <v>5600</v>
      </c>
    </row>
    <row r="26" spans="1:12" ht="14.4" x14ac:dyDescent="0.3">
      <c r="A26" s="13" t="s">
        <v>11</v>
      </c>
      <c r="B26" s="13" t="s">
        <v>12</v>
      </c>
      <c r="C26" s="13">
        <v>1128299</v>
      </c>
      <c r="D26" s="14">
        <v>44702</v>
      </c>
      <c r="E26" s="14">
        <v>44732</v>
      </c>
      <c r="F26" s="13" t="s">
        <v>13</v>
      </c>
      <c r="G26" s="13" t="s">
        <v>14</v>
      </c>
      <c r="H26" s="13" t="s">
        <v>15</v>
      </c>
      <c r="I26" s="15">
        <v>0.6</v>
      </c>
      <c r="J26" s="13">
        <v>9000</v>
      </c>
      <c r="K26" s="13">
        <v>30</v>
      </c>
      <c r="L26" s="15">
        <v>5400</v>
      </c>
    </row>
    <row r="27" spans="1:12" ht="14.4" x14ac:dyDescent="0.3">
      <c r="A27" s="13" t="s">
        <v>11</v>
      </c>
      <c r="B27" s="13" t="s">
        <v>12</v>
      </c>
      <c r="C27" s="13">
        <v>1128299</v>
      </c>
      <c r="D27" s="14">
        <v>44702</v>
      </c>
      <c r="E27" s="14">
        <v>44732</v>
      </c>
      <c r="F27" s="13" t="s">
        <v>13</v>
      </c>
      <c r="G27" s="13" t="s">
        <v>14</v>
      </c>
      <c r="H27" s="13" t="s">
        <v>16</v>
      </c>
      <c r="I27" s="15">
        <v>0.65</v>
      </c>
      <c r="J27" s="13">
        <v>7500</v>
      </c>
      <c r="K27" s="13">
        <v>30</v>
      </c>
      <c r="L27" s="15">
        <v>4875</v>
      </c>
    </row>
    <row r="28" spans="1:12" ht="14.4" x14ac:dyDescent="0.3">
      <c r="A28" s="13" t="s">
        <v>11</v>
      </c>
      <c r="B28" s="13" t="s">
        <v>12</v>
      </c>
      <c r="C28" s="13">
        <v>1128299</v>
      </c>
      <c r="D28" s="14">
        <v>44702</v>
      </c>
      <c r="E28" s="14">
        <v>44732</v>
      </c>
      <c r="F28" s="13" t="s">
        <v>13</v>
      </c>
      <c r="G28" s="13" t="s">
        <v>14</v>
      </c>
      <c r="H28" s="13" t="s">
        <v>17</v>
      </c>
      <c r="I28" s="15">
        <v>0.65</v>
      </c>
      <c r="J28" s="13">
        <v>7500</v>
      </c>
      <c r="K28" s="13">
        <v>30</v>
      </c>
      <c r="L28" s="15">
        <v>4875</v>
      </c>
    </row>
    <row r="29" spans="1:12" ht="14.4" x14ac:dyDescent="0.3">
      <c r="A29" s="13" t="s">
        <v>11</v>
      </c>
      <c r="B29" s="13" t="s">
        <v>12</v>
      </c>
      <c r="C29" s="13">
        <v>1128299</v>
      </c>
      <c r="D29" s="14">
        <v>44702</v>
      </c>
      <c r="E29" s="14">
        <v>44732</v>
      </c>
      <c r="F29" s="13" t="s">
        <v>13</v>
      </c>
      <c r="G29" s="13" t="s">
        <v>14</v>
      </c>
      <c r="H29" s="13" t="s">
        <v>18</v>
      </c>
      <c r="I29" s="15">
        <v>0.6</v>
      </c>
      <c r="J29" s="13">
        <v>6500</v>
      </c>
      <c r="K29" s="13">
        <v>30</v>
      </c>
      <c r="L29" s="15">
        <v>3900</v>
      </c>
    </row>
    <row r="30" spans="1:12" ht="14.4" x14ac:dyDescent="0.3">
      <c r="A30" s="13" t="s">
        <v>11</v>
      </c>
      <c r="B30" s="13" t="s">
        <v>12</v>
      </c>
      <c r="C30" s="13">
        <v>1128299</v>
      </c>
      <c r="D30" s="14">
        <v>44702</v>
      </c>
      <c r="E30" s="14">
        <v>44732</v>
      </c>
      <c r="F30" s="13" t="s">
        <v>13</v>
      </c>
      <c r="G30" s="13" t="s">
        <v>14</v>
      </c>
      <c r="H30" s="13" t="s">
        <v>19</v>
      </c>
      <c r="I30" s="15">
        <v>0.65</v>
      </c>
      <c r="J30" s="13">
        <v>5500</v>
      </c>
      <c r="K30" s="13">
        <v>30</v>
      </c>
      <c r="L30" s="15">
        <v>3575</v>
      </c>
    </row>
    <row r="31" spans="1:12" ht="14.4" x14ac:dyDescent="0.3">
      <c r="A31" s="13" t="s">
        <v>11</v>
      </c>
      <c r="B31" s="13" t="s">
        <v>12</v>
      </c>
      <c r="C31" s="13">
        <v>1128299</v>
      </c>
      <c r="D31" s="14">
        <v>44702</v>
      </c>
      <c r="E31" s="14">
        <v>44732</v>
      </c>
      <c r="F31" s="13" t="s">
        <v>13</v>
      </c>
      <c r="G31" s="13" t="s">
        <v>14</v>
      </c>
      <c r="H31" s="13" t="s">
        <v>20</v>
      </c>
      <c r="I31" s="15">
        <v>0.8</v>
      </c>
      <c r="J31" s="13">
        <v>7250</v>
      </c>
      <c r="K31" s="13">
        <v>30</v>
      </c>
      <c r="L31" s="15">
        <v>5800</v>
      </c>
    </row>
    <row r="32" spans="1:12" ht="14.4" x14ac:dyDescent="0.3">
      <c r="A32" s="13" t="s">
        <v>11</v>
      </c>
      <c r="B32" s="13" t="s">
        <v>12</v>
      </c>
      <c r="C32" s="13">
        <v>1128299</v>
      </c>
      <c r="D32" s="14">
        <v>44732</v>
      </c>
      <c r="E32" s="14">
        <v>44762</v>
      </c>
      <c r="F32" s="13" t="s">
        <v>13</v>
      </c>
      <c r="G32" s="13" t="s">
        <v>14</v>
      </c>
      <c r="H32" s="13" t="s">
        <v>15</v>
      </c>
      <c r="I32" s="15">
        <v>0.6</v>
      </c>
      <c r="J32" s="13">
        <v>9750</v>
      </c>
      <c r="K32" s="13">
        <v>30</v>
      </c>
      <c r="L32" s="15">
        <v>5850</v>
      </c>
    </row>
    <row r="33" spans="1:12" ht="14.4" x14ac:dyDescent="0.3">
      <c r="A33" s="13" t="s">
        <v>11</v>
      </c>
      <c r="B33" s="13" t="s">
        <v>12</v>
      </c>
      <c r="C33" s="13">
        <v>1128299</v>
      </c>
      <c r="D33" s="14">
        <v>44732</v>
      </c>
      <c r="E33" s="14">
        <v>44762</v>
      </c>
      <c r="F33" s="13" t="s">
        <v>13</v>
      </c>
      <c r="G33" s="13" t="s">
        <v>14</v>
      </c>
      <c r="H33" s="13" t="s">
        <v>16</v>
      </c>
      <c r="I33" s="15">
        <v>0.65</v>
      </c>
      <c r="J33" s="13">
        <v>8250</v>
      </c>
      <c r="K33" s="13">
        <v>30</v>
      </c>
      <c r="L33" s="15">
        <v>5362.5</v>
      </c>
    </row>
    <row r="34" spans="1:12" ht="14.4" x14ac:dyDescent="0.3">
      <c r="A34" s="13" t="s">
        <v>11</v>
      </c>
      <c r="B34" s="13" t="s">
        <v>12</v>
      </c>
      <c r="C34" s="13">
        <v>1128299</v>
      </c>
      <c r="D34" s="14">
        <v>44732</v>
      </c>
      <c r="E34" s="14">
        <v>44762</v>
      </c>
      <c r="F34" s="13" t="s">
        <v>13</v>
      </c>
      <c r="G34" s="13" t="s">
        <v>14</v>
      </c>
      <c r="H34" s="13" t="s">
        <v>17</v>
      </c>
      <c r="I34" s="15">
        <v>0.65</v>
      </c>
      <c r="J34" s="13">
        <v>8250</v>
      </c>
      <c r="K34" s="13">
        <v>30</v>
      </c>
      <c r="L34" s="15">
        <v>5362.5</v>
      </c>
    </row>
    <row r="35" spans="1:12" ht="14.4" x14ac:dyDescent="0.3">
      <c r="A35" s="13" t="s">
        <v>11</v>
      </c>
      <c r="B35" s="13" t="s">
        <v>12</v>
      </c>
      <c r="C35" s="13">
        <v>1128299</v>
      </c>
      <c r="D35" s="14">
        <v>44732</v>
      </c>
      <c r="E35" s="14">
        <v>44762</v>
      </c>
      <c r="F35" s="13" t="s">
        <v>13</v>
      </c>
      <c r="G35" s="13" t="s">
        <v>14</v>
      </c>
      <c r="H35" s="13" t="s">
        <v>18</v>
      </c>
      <c r="I35" s="15">
        <v>0.6</v>
      </c>
      <c r="J35" s="13">
        <v>7000</v>
      </c>
      <c r="K35" s="13">
        <v>30</v>
      </c>
      <c r="L35" s="15">
        <v>4200</v>
      </c>
    </row>
    <row r="36" spans="1:12" ht="14.4" x14ac:dyDescent="0.3">
      <c r="A36" s="13" t="s">
        <v>11</v>
      </c>
      <c r="B36" s="13" t="s">
        <v>12</v>
      </c>
      <c r="C36" s="13">
        <v>1128299</v>
      </c>
      <c r="D36" s="14">
        <v>44732</v>
      </c>
      <c r="E36" s="14">
        <v>44762</v>
      </c>
      <c r="F36" s="13" t="s">
        <v>13</v>
      </c>
      <c r="G36" s="13" t="s">
        <v>14</v>
      </c>
      <c r="H36" s="13" t="s">
        <v>19</v>
      </c>
      <c r="I36" s="15">
        <v>0.65</v>
      </c>
      <c r="J36" s="13">
        <v>5750</v>
      </c>
      <c r="K36" s="13">
        <v>30</v>
      </c>
      <c r="L36" s="15">
        <v>3737.5</v>
      </c>
    </row>
    <row r="37" spans="1:12" ht="14.4" x14ac:dyDescent="0.3">
      <c r="A37" s="13" t="s">
        <v>11</v>
      </c>
      <c r="B37" s="13" t="s">
        <v>12</v>
      </c>
      <c r="C37" s="13">
        <v>1128299</v>
      </c>
      <c r="D37" s="14">
        <v>44732</v>
      </c>
      <c r="E37" s="14">
        <v>44762</v>
      </c>
      <c r="F37" s="13" t="s">
        <v>13</v>
      </c>
      <c r="G37" s="13" t="s">
        <v>14</v>
      </c>
      <c r="H37" s="13" t="s">
        <v>20</v>
      </c>
      <c r="I37" s="15">
        <v>0.8</v>
      </c>
      <c r="J37" s="13">
        <v>8750</v>
      </c>
      <c r="K37" s="13">
        <v>30</v>
      </c>
      <c r="L37" s="15">
        <v>7000</v>
      </c>
    </row>
    <row r="38" spans="1:12" ht="14.4" x14ac:dyDescent="0.3">
      <c r="A38" s="13" t="s">
        <v>11</v>
      </c>
      <c r="B38" s="13" t="s">
        <v>12</v>
      </c>
      <c r="C38" s="13">
        <v>1128299</v>
      </c>
      <c r="D38" s="14">
        <v>44761</v>
      </c>
      <c r="E38" s="14">
        <v>44791</v>
      </c>
      <c r="F38" s="13" t="s">
        <v>13</v>
      </c>
      <c r="G38" s="13" t="s">
        <v>14</v>
      </c>
      <c r="H38" s="13" t="s">
        <v>15</v>
      </c>
      <c r="I38" s="15">
        <v>0.6</v>
      </c>
      <c r="J38" s="13">
        <v>10250</v>
      </c>
      <c r="K38" s="13">
        <v>30</v>
      </c>
      <c r="L38" s="15">
        <v>6150</v>
      </c>
    </row>
    <row r="39" spans="1:12" ht="14.4" x14ac:dyDescent="0.3">
      <c r="A39" s="13" t="s">
        <v>11</v>
      </c>
      <c r="B39" s="13" t="s">
        <v>12</v>
      </c>
      <c r="C39" s="13">
        <v>1128299</v>
      </c>
      <c r="D39" s="14">
        <v>44761</v>
      </c>
      <c r="E39" s="14">
        <v>44791</v>
      </c>
      <c r="F39" s="13" t="s">
        <v>13</v>
      </c>
      <c r="G39" s="13" t="s">
        <v>14</v>
      </c>
      <c r="H39" s="13" t="s">
        <v>16</v>
      </c>
      <c r="I39" s="15">
        <v>0.65</v>
      </c>
      <c r="J39" s="13">
        <v>8750</v>
      </c>
      <c r="K39" s="13">
        <v>30</v>
      </c>
      <c r="L39" s="15">
        <v>5687.5</v>
      </c>
    </row>
    <row r="40" spans="1:12" ht="14.4" x14ac:dyDescent="0.3">
      <c r="A40" s="13" t="s">
        <v>11</v>
      </c>
      <c r="B40" s="13" t="s">
        <v>12</v>
      </c>
      <c r="C40" s="13">
        <v>1128299</v>
      </c>
      <c r="D40" s="14">
        <v>44761</v>
      </c>
      <c r="E40" s="14">
        <v>44791</v>
      </c>
      <c r="F40" s="13" t="s">
        <v>13</v>
      </c>
      <c r="G40" s="13" t="s">
        <v>14</v>
      </c>
      <c r="H40" s="13" t="s">
        <v>17</v>
      </c>
      <c r="I40" s="15">
        <v>0.65</v>
      </c>
      <c r="J40" s="13">
        <v>8250</v>
      </c>
      <c r="K40" s="13">
        <v>30</v>
      </c>
      <c r="L40" s="15">
        <v>5362.5</v>
      </c>
    </row>
    <row r="41" spans="1:12" ht="14.4" x14ac:dyDescent="0.3">
      <c r="A41" s="13" t="s">
        <v>11</v>
      </c>
      <c r="B41" s="13" t="s">
        <v>12</v>
      </c>
      <c r="C41" s="13">
        <v>1128299</v>
      </c>
      <c r="D41" s="14">
        <v>44761</v>
      </c>
      <c r="E41" s="14">
        <v>44791</v>
      </c>
      <c r="F41" s="13" t="s">
        <v>13</v>
      </c>
      <c r="G41" s="13" t="s">
        <v>14</v>
      </c>
      <c r="H41" s="13" t="s">
        <v>18</v>
      </c>
      <c r="I41" s="15">
        <v>0.6</v>
      </c>
      <c r="J41" s="13">
        <v>7250</v>
      </c>
      <c r="K41" s="13">
        <v>30</v>
      </c>
      <c r="L41" s="15">
        <v>4350</v>
      </c>
    </row>
    <row r="42" spans="1:12" ht="14.4" x14ac:dyDescent="0.3">
      <c r="A42" s="13" t="s">
        <v>11</v>
      </c>
      <c r="B42" s="13" t="s">
        <v>12</v>
      </c>
      <c r="C42" s="13">
        <v>1128299</v>
      </c>
      <c r="D42" s="14">
        <v>44761</v>
      </c>
      <c r="E42" s="14">
        <v>44791</v>
      </c>
      <c r="F42" s="13" t="s">
        <v>13</v>
      </c>
      <c r="G42" s="13" t="s">
        <v>14</v>
      </c>
      <c r="H42" s="13" t="s">
        <v>19</v>
      </c>
      <c r="I42" s="15">
        <v>0.65</v>
      </c>
      <c r="J42" s="13">
        <v>7750</v>
      </c>
      <c r="K42" s="13">
        <v>30</v>
      </c>
      <c r="L42" s="15">
        <v>5037.5</v>
      </c>
    </row>
    <row r="43" spans="1:12" ht="14.4" x14ac:dyDescent="0.3">
      <c r="A43" s="13" t="s">
        <v>11</v>
      </c>
      <c r="B43" s="13" t="s">
        <v>12</v>
      </c>
      <c r="C43" s="13">
        <v>1128299</v>
      </c>
      <c r="D43" s="14">
        <v>44761</v>
      </c>
      <c r="E43" s="14">
        <v>44791</v>
      </c>
      <c r="F43" s="13" t="s">
        <v>13</v>
      </c>
      <c r="G43" s="13" t="s">
        <v>14</v>
      </c>
      <c r="H43" s="13" t="s">
        <v>20</v>
      </c>
      <c r="I43" s="15">
        <v>0.8</v>
      </c>
      <c r="J43" s="13">
        <v>7750</v>
      </c>
      <c r="K43" s="13">
        <v>30</v>
      </c>
      <c r="L43" s="15">
        <v>6200</v>
      </c>
    </row>
    <row r="44" spans="1:12" ht="14.4" x14ac:dyDescent="0.3">
      <c r="A44" s="13" t="s">
        <v>11</v>
      </c>
      <c r="B44" s="13" t="s">
        <v>12</v>
      </c>
      <c r="C44" s="13">
        <v>1128299</v>
      </c>
      <c r="D44" s="14">
        <v>44793</v>
      </c>
      <c r="E44" s="14">
        <v>44823</v>
      </c>
      <c r="F44" s="13" t="s">
        <v>13</v>
      </c>
      <c r="G44" s="13" t="s">
        <v>14</v>
      </c>
      <c r="H44" s="13" t="s">
        <v>15</v>
      </c>
      <c r="I44" s="15">
        <v>0.65</v>
      </c>
      <c r="J44" s="13">
        <v>9750</v>
      </c>
      <c r="K44" s="13">
        <v>30</v>
      </c>
      <c r="L44" s="15">
        <v>6337.5</v>
      </c>
    </row>
    <row r="45" spans="1:12" ht="14.4" x14ac:dyDescent="0.3">
      <c r="A45" s="13" t="s">
        <v>11</v>
      </c>
      <c r="B45" s="13" t="s">
        <v>12</v>
      </c>
      <c r="C45" s="13">
        <v>1128299</v>
      </c>
      <c r="D45" s="14">
        <v>44793</v>
      </c>
      <c r="E45" s="14">
        <v>44823</v>
      </c>
      <c r="F45" s="13" t="s">
        <v>13</v>
      </c>
      <c r="G45" s="13" t="s">
        <v>14</v>
      </c>
      <c r="H45" s="13" t="s">
        <v>16</v>
      </c>
      <c r="I45" s="15">
        <v>0.7</v>
      </c>
      <c r="J45" s="13">
        <v>9250</v>
      </c>
      <c r="K45" s="13">
        <v>30</v>
      </c>
      <c r="L45" s="15">
        <v>6475</v>
      </c>
    </row>
    <row r="46" spans="1:12" ht="14.4" x14ac:dyDescent="0.3">
      <c r="A46" s="13" t="s">
        <v>11</v>
      </c>
      <c r="B46" s="13" t="s">
        <v>12</v>
      </c>
      <c r="C46" s="13">
        <v>1128299</v>
      </c>
      <c r="D46" s="14">
        <v>44793</v>
      </c>
      <c r="E46" s="14">
        <v>44823</v>
      </c>
      <c r="F46" s="13" t="s">
        <v>13</v>
      </c>
      <c r="G46" s="13" t="s">
        <v>14</v>
      </c>
      <c r="H46" s="13" t="s">
        <v>17</v>
      </c>
      <c r="I46" s="15">
        <v>0.65</v>
      </c>
      <c r="J46" s="13">
        <v>8000</v>
      </c>
      <c r="K46" s="13">
        <v>30</v>
      </c>
      <c r="L46" s="15">
        <v>5200</v>
      </c>
    </row>
    <row r="47" spans="1:12" ht="14.4" x14ac:dyDescent="0.3">
      <c r="A47" s="13" t="s">
        <v>11</v>
      </c>
      <c r="B47" s="13" t="s">
        <v>12</v>
      </c>
      <c r="C47" s="13">
        <v>1128299</v>
      </c>
      <c r="D47" s="14">
        <v>44793</v>
      </c>
      <c r="E47" s="14">
        <v>44823</v>
      </c>
      <c r="F47" s="13" t="s">
        <v>13</v>
      </c>
      <c r="G47" s="13" t="s">
        <v>14</v>
      </c>
      <c r="H47" s="13" t="s">
        <v>18</v>
      </c>
      <c r="I47" s="15">
        <v>0.65</v>
      </c>
      <c r="J47" s="13">
        <v>7500</v>
      </c>
      <c r="K47" s="13">
        <v>30</v>
      </c>
      <c r="L47" s="15">
        <v>4875</v>
      </c>
    </row>
    <row r="48" spans="1:12" ht="14.4" x14ac:dyDescent="0.3">
      <c r="A48" s="13" t="s">
        <v>11</v>
      </c>
      <c r="B48" s="13" t="s">
        <v>12</v>
      </c>
      <c r="C48" s="13">
        <v>1128299</v>
      </c>
      <c r="D48" s="14">
        <v>44793</v>
      </c>
      <c r="E48" s="14">
        <v>44823</v>
      </c>
      <c r="F48" s="13" t="s">
        <v>13</v>
      </c>
      <c r="G48" s="13" t="s">
        <v>14</v>
      </c>
      <c r="H48" s="13" t="s">
        <v>19</v>
      </c>
      <c r="I48" s="15">
        <v>0.75</v>
      </c>
      <c r="J48" s="13">
        <v>7500</v>
      </c>
      <c r="K48" s="13">
        <v>30</v>
      </c>
      <c r="L48" s="15">
        <v>5625</v>
      </c>
    </row>
    <row r="49" spans="1:12" ht="14.4" x14ac:dyDescent="0.3">
      <c r="A49" s="13" t="s">
        <v>11</v>
      </c>
      <c r="B49" s="13" t="s">
        <v>12</v>
      </c>
      <c r="C49" s="13">
        <v>1128299</v>
      </c>
      <c r="D49" s="14">
        <v>44793</v>
      </c>
      <c r="E49" s="14">
        <v>44823</v>
      </c>
      <c r="F49" s="13" t="s">
        <v>13</v>
      </c>
      <c r="G49" s="13" t="s">
        <v>14</v>
      </c>
      <c r="H49" s="13" t="s">
        <v>20</v>
      </c>
      <c r="I49" s="15">
        <v>0.8</v>
      </c>
      <c r="J49" s="13">
        <v>7250</v>
      </c>
      <c r="K49" s="13">
        <v>30</v>
      </c>
      <c r="L49" s="15">
        <v>5800</v>
      </c>
    </row>
    <row r="50" spans="1:12" ht="14.4" x14ac:dyDescent="0.3">
      <c r="A50" s="13" t="s">
        <v>11</v>
      </c>
      <c r="B50" s="13" t="s">
        <v>12</v>
      </c>
      <c r="C50" s="13">
        <v>1128299</v>
      </c>
      <c r="D50" s="14">
        <v>44825</v>
      </c>
      <c r="E50" s="14">
        <v>44855</v>
      </c>
      <c r="F50" s="13" t="s">
        <v>13</v>
      </c>
      <c r="G50" s="13" t="s">
        <v>14</v>
      </c>
      <c r="H50" s="13" t="s">
        <v>15</v>
      </c>
      <c r="I50" s="15">
        <v>0.55000000000000004</v>
      </c>
      <c r="J50" s="13">
        <v>9250</v>
      </c>
      <c r="K50" s="13">
        <v>30</v>
      </c>
      <c r="L50" s="15">
        <v>5087.5</v>
      </c>
    </row>
    <row r="51" spans="1:12" ht="14.4" x14ac:dyDescent="0.3">
      <c r="A51" s="13" t="s">
        <v>11</v>
      </c>
      <c r="B51" s="13" t="s">
        <v>12</v>
      </c>
      <c r="C51" s="13">
        <v>1128299</v>
      </c>
      <c r="D51" s="14">
        <v>44825</v>
      </c>
      <c r="E51" s="14">
        <v>44855</v>
      </c>
      <c r="F51" s="13" t="s">
        <v>13</v>
      </c>
      <c r="G51" s="13" t="s">
        <v>14</v>
      </c>
      <c r="H51" s="13" t="s">
        <v>16</v>
      </c>
      <c r="I51" s="15">
        <v>0.6</v>
      </c>
      <c r="J51" s="13">
        <v>9250</v>
      </c>
      <c r="K51" s="13">
        <v>30</v>
      </c>
      <c r="L51" s="15">
        <v>5550</v>
      </c>
    </row>
    <row r="52" spans="1:12" ht="14.4" x14ac:dyDescent="0.3">
      <c r="A52" s="13" t="s">
        <v>11</v>
      </c>
      <c r="B52" s="13" t="s">
        <v>12</v>
      </c>
      <c r="C52" s="13">
        <v>1128299</v>
      </c>
      <c r="D52" s="14">
        <v>44825</v>
      </c>
      <c r="E52" s="14">
        <v>44855</v>
      </c>
      <c r="F52" s="13" t="s">
        <v>13</v>
      </c>
      <c r="G52" s="13" t="s">
        <v>14</v>
      </c>
      <c r="H52" s="13" t="s">
        <v>17</v>
      </c>
      <c r="I52" s="15">
        <v>0.55000000000000004</v>
      </c>
      <c r="J52" s="13">
        <v>7750</v>
      </c>
      <c r="K52" s="13">
        <v>30</v>
      </c>
      <c r="L52" s="15">
        <v>4262.5</v>
      </c>
    </row>
    <row r="53" spans="1:12" ht="14.4" x14ac:dyDescent="0.3">
      <c r="A53" s="13" t="s">
        <v>11</v>
      </c>
      <c r="B53" s="13" t="s">
        <v>12</v>
      </c>
      <c r="C53" s="13">
        <v>1128299</v>
      </c>
      <c r="D53" s="14">
        <v>44825</v>
      </c>
      <c r="E53" s="14">
        <v>44855</v>
      </c>
      <c r="F53" s="13" t="s">
        <v>13</v>
      </c>
      <c r="G53" s="13" t="s">
        <v>14</v>
      </c>
      <c r="H53" s="13" t="s">
        <v>18</v>
      </c>
      <c r="I53" s="15">
        <v>0.55000000000000004</v>
      </c>
      <c r="J53" s="13">
        <v>7250</v>
      </c>
      <c r="K53" s="13">
        <v>30</v>
      </c>
      <c r="L53" s="15">
        <v>3987.5</v>
      </c>
    </row>
    <row r="54" spans="1:12" ht="14.4" x14ac:dyDescent="0.3">
      <c r="A54" s="13" t="s">
        <v>11</v>
      </c>
      <c r="B54" s="13" t="s">
        <v>12</v>
      </c>
      <c r="C54" s="13">
        <v>1128299</v>
      </c>
      <c r="D54" s="14">
        <v>44825</v>
      </c>
      <c r="E54" s="14">
        <v>44855</v>
      </c>
      <c r="F54" s="13" t="s">
        <v>13</v>
      </c>
      <c r="G54" s="13" t="s">
        <v>14</v>
      </c>
      <c r="H54" s="13" t="s">
        <v>19</v>
      </c>
      <c r="I54" s="15">
        <v>0.65</v>
      </c>
      <c r="J54" s="13">
        <v>7250</v>
      </c>
      <c r="K54" s="13">
        <v>30</v>
      </c>
      <c r="L54" s="15">
        <v>4712.5</v>
      </c>
    </row>
    <row r="55" spans="1:12" ht="14.4" x14ac:dyDescent="0.3">
      <c r="A55" s="13" t="s">
        <v>11</v>
      </c>
      <c r="B55" s="13" t="s">
        <v>12</v>
      </c>
      <c r="C55" s="13">
        <v>1128299</v>
      </c>
      <c r="D55" s="14">
        <v>44825</v>
      </c>
      <c r="E55" s="14">
        <v>44855</v>
      </c>
      <c r="F55" s="13" t="s">
        <v>13</v>
      </c>
      <c r="G55" s="13" t="s">
        <v>14</v>
      </c>
      <c r="H55" s="13" t="s">
        <v>20</v>
      </c>
      <c r="I55" s="15">
        <v>0.7</v>
      </c>
      <c r="J55" s="13">
        <v>7750</v>
      </c>
      <c r="K55" s="13">
        <v>30</v>
      </c>
      <c r="L55" s="15">
        <v>5425</v>
      </c>
    </row>
    <row r="56" spans="1:12" ht="14.4" x14ac:dyDescent="0.3">
      <c r="A56" s="13" t="s">
        <v>11</v>
      </c>
      <c r="B56" s="13" t="s">
        <v>12</v>
      </c>
      <c r="C56" s="13">
        <v>1128299</v>
      </c>
      <c r="D56" s="14">
        <v>44854</v>
      </c>
      <c r="E56" s="14">
        <v>44884</v>
      </c>
      <c r="F56" s="13" t="s">
        <v>13</v>
      </c>
      <c r="G56" s="13" t="s">
        <v>14</v>
      </c>
      <c r="H56" s="13" t="s">
        <v>15</v>
      </c>
      <c r="I56" s="15">
        <v>0.55000000000000004</v>
      </c>
      <c r="J56" s="13">
        <v>8750</v>
      </c>
      <c r="K56" s="13">
        <v>30</v>
      </c>
      <c r="L56" s="15">
        <v>4812.5</v>
      </c>
    </row>
    <row r="57" spans="1:12" ht="14.4" x14ac:dyDescent="0.3">
      <c r="A57" s="13" t="s">
        <v>11</v>
      </c>
      <c r="B57" s="13" t="s">
        <v>12</v>
      </c>
      <c r="C57" s="13">
        <v>1128299</v>
      </c>
      <c r="D57" s="14">
        <v>44854</v>
      </c>
      <c r="E57" s="14">
        <v>44884</v>
      </c>
      <c r="F57" s="13" t="s">
        <v>13</v>
      </c>
      <c r="G57" s="13" t="s">
        <v>14</v>
      </c>
      <c r="H57" s="13" t="s">
        <v>16</v>
      </c>
      <c r="I57" s="15">
        <v>0.6</v>
      </c>
      <c r="J57" s="13">
        <v>8750</v>
      </c>
      <c r="K57" s="13">
        <v>30</v>
      </c>
      <c r="L57" s="15">
        <v>5250</v>
      </c>
    </row>
    <row r="58" spans="1:12" ht="14.4" x14ac:dyDescent="0.3">
      <c r="A58" s="13" t="s">
        <v>11</v>
      </c>
      <c r="B58" s="13" t="s">
        <v>12</v>
      </c>
      <c r="C58" s="13">
        <v>1128299</v>
      </c>
      <c r="D58" s="14">
        <v>44854</v>
      </c>
      <c r="E58" s="14">
        <v>44884</v>
      </c>
      <c r="F58" s="13" t="s">
        <v>13</v>
      </c>
      <c r="G58" s="13" t="s">
        <v>14</v>
      </c>
      <c r="H58" s="13" t="s">
        <v>17</v>
      </c>
      <c r="I58" s="15">
        <v>0.55000000000000004</v>
      </c>
      <c r="J58" s="13">
        <v>7000</v>
      </c>
      <c r="K58" s="13">
        <v>30</v>
      </c>
      <c r="L58" s="15">
        <v>3850</v>
      </c>
    </row>
    <row r="59" spans="1:12" ht="14.4" x14ac:dyDescent="0.3">
      <c r="A59" s="13" t="s">
        <v>11</v>
      </c>
      <c r="B59" s="13" t="s">
        <v>12</v>
      </c>
      <c r="C59" s="13">
        <v>1128299</v>
      </c>
      <c r="D59" s="14">
        <v>44854</v>
      </c>
      <c r="E59" s="14">
        <v>44884</v>
      </c>
      <c r="F59" s="13" t="s">
        <v>13</v>
      </c>
      <c r="G59" s="13" t="s">
        <v>14</v>
      </c>
      <c r="H59" s="13" t="s">
        <v>18</v>
      </c>
      <c r="I59" s="15">
        <v>0.55000000000000004</v>
      </c>
      <c r="J59" s="13">
        <v>6750</v>
      </c>
      <c r="K59" s="13">
        <v>30</v>
      </c>
      <c r="L59" s="15">
        <v>3712.5</v>
      </c>
    </row>
    <row r="60" spans="1:12" ht="14.4" x14ac:dyDescent="0.3">
      <c r="A60" s="13" t="s">
        <v>11</v>
      </c>
      <c r="B60" s="13" t="s">
        <v>12</v>
      </c>
      <c r="C60" s="13">
        <v>1128299</v>
      </c>
      <c r="D60" s="14">
        <v>44854</v>
      </c>
      <c r="E60" s="14">
        <v>44884</v>
      </c>
      <c r="F60" s="13" t="s">
        <v>13</v>
      </c>
      <c r="G60" s="13" t="s">
        <v>14</v>
      </c>
      <c r="H60" s="13" t="s">
        <v>19</v>
      </c>
      <c r="I60" s="15">
        <v>0.65</v>
      </c>
      <c r="J60" s="13">
        <v>6500</v>
      </c>
      <c r="K60" s="13">
        <v>30</v>
      </c>
      <c r="L60" s="15">
        <v>4225</v>
      </c>
    </row>
    <row r="61" spans="1:12" ht="14.4" x14ac:dyDescent="0.3">
      <c r="A61" s="13" t="s">
        <v>11</v>
      </c>
      <c r="B61" s="13" t="s">
        <v>12</v>
      </c>
      <c r="C61" s="13">
        <v>1128299</v>
      </c>
      <c r="D61" s="14">
        <v>44854</v>
      </c>
      <c r="E61" s="14">
        <v>44884</v>
      </c>
      <c r="F61" s="13" t="s">
        <v>13</v>
      </c>
      <c r="G61" s="13" t="s">
        <v>14</v>
      </c>
      <c r="H61" s="13" t="s">
        <v>20</v>
      </c>
      <c r="I61" s="15">
        <v>0.7</v>
      </c>
      <c r="J61" s="13">
        <v>7000</v>
      </c>
      <c r="K61" s="13">
        <v>30</v>
      </c>
      <c r="L61" s="15">
        <v>4900</v>
      </c>
    </row>
    <row r="62" spans="1:12" ht="14.4" x14ac:dyDescent="0.3">
      <c r="A62" s="13" t="s">
        <v>11</v>
      </c>
      <c r="B62" s="13" t="s">
        <v>12</v>
      </c>
      <c r="C62" s="13">
        <v>1128299</v>
      </c>
      <c r="D62" s="14">
        <v>44885</v>
      </c>
      <c r="E62" s="14">
        <v>44915</v>
      </c>
      <c r="F62" s="13" t="s">
        <v>13</v>
      </c>
      <c r="G62" s="13" t="s">
        <v>14</v>
      </c>
      <c r="H62" s="13" t="s">
        <v>15</v>
      </c>
      <c r="I62" s="15">
        <v>0.55000000000000004</v>
      </c>
      <c r="J62" s="13">
        <v>8750</v>
      </c>
      <c r="K62" s="13">
        <v>30</v>
      </c>
      <c r="L62" s="15">
        <v>4812.5</v>
      </c>
    </row>
    <row r="63" spans="1:12" ht="14.4" x14ac:dyDescent="0.3">
      <c r="A63" s="13" t="s">
        <v>11</v>
      </c>
      <c r="B63" s="13" t="s">
        <v>12</v>
      </c>
      <c r="C63" s="13">
        <v>1128299</v>
      </c>
      <c r="D63" s="14">
        <v>44885</v>
      </c>
      <c r="E63" s="14">
        <v>44915</v>
      </c>
      <c r="F63" s="13" t="s">
        <v>13</v>
      </c>
      <c r="G63" s="13" t="s">
        <v>14</v>
      </c>
      <c r="H63" s="13" t="s">
        <v>16</v>
      </c>
      <c r="I63" s="15">
        <v>0.6</v>
      </c>
      <c r="J63" s="13">
        <v>8750</v>
      </c>
      <c r="K63" s="13">
        <v>30</v>
      </c>
      <c r="L63" s="15">
        <v>5250</v>
      </c>
    </row>
    <row r="64" spans="1:12" ht="14.4" x14ac:dyDescent="0.3">
      <c r="A64" s="13" t="s">
        <v>11</v>
      </c>
      <c r="B64" s="13" t="s">
        <v>12</v>
      </c>
      <c r="C64" s="13">
        <v>1128299</v>
      </c>
      <c r="D64" s="14">
        <v>44885</v>
      </c>
      <c r="E64" s="14">
        <v>44915</v>
      </c>
      <c r="F64" s="13" t="s">
        <v>13</v>
      </c>
      <c r="G64" s="13" t="s">
        <v>14</v>
      </c>
      <c r="H64" s="13" t="s">
        <v>17</v>
      </c>
      <c r="I64" s="15">
        <v>0.55000000000000004</v>
      </c>
      <c r="J64" s="13">
        <v>7250</v>
      </c>
      <c r="K64" s="13">
        <v>30</v>
      </c>
      <c r="L64" s="15">
        <v>3987.5</v>
      </c>
    </row>
    <row r="65" spans="1:12" ht="14.4" x14ac:dyDescent="0.3">
      <c r="A65" s="13" t="s">
        <v>11</v>
      </c>
      <c r="B65" s="13" t="s">
        <v>12</v>
      </c>
      <c r="C65" s="13">
        <v>1128299</v>
      </c>
      <c r="D65" s="14">
        <v>44885</v>
      </c>
      <c r="E65" s="14">
        <v>44915</v>
      </c>
      <c r="F65" s="13" t="s">
        <v>13</v>
      </c>
      <c r="G65" s="13" t="s">
        <v>14</v>
      </c>
      <c r="H65" s="13" t="s">
        <v>18</v>
      </c>
      <c r="I65" s="15">
        <v>0.55000000000000004</v>
      </c>
      <c r="J65" s="13">
        <v>7000</v>
      </c>
      <c r="K65" s="13">
        <v>30</v>
      </c>
      <c r="L65" s="15">
        <v>3850</v>
      </c>
    </row>
    <row r="66" spans="1:12" ht="14.4" x14ac:dyDescent="0.3">
      <c r="A66" s="13" t="s">
        <v>11</v>
      </c>
      <c r="B66" s="13" t="s">
        <v>12</v>
      </c>
      <c r="C66" s="13">
        <v>1128299</v>
      </c>
      <c r="D66" s="14">
        <v>44885</v>
      </c>
      <c r="E66" s="14">
        <v>44915</v>
      </c>
      <c r="F66" s="13" t="s">
        <v>13</v>
      </c>
      <c r="G66" s="13" t="s">
        <v>14</v>
      </c>
      <c r="H66" s="13" t="s">
        <v>19</v>
      </c>
      <c r="I66" s="15">
        <v>0.65</v>
      </c>
      <c r="J66" s="13">
        <v>6500</v>
      </c>
      <c r="K66" s="13">
        <v>30</v>
      </c>
      <c r="L66" s="15">
        <v>4225</v>
      </c>
    </row>
    <row r="67" spans="1:12" ht="14.4" x14ac:dyDescent="0.3">
      <c r="A67" s="13" t="s">
        <v>11</v>
      </c>
      <c r="B67" s="13" t="s">
        <v>12</v>
      </c>
      <c r="C67" s="13">
        <v>1128299</v>
      </c>
      <c r="D67" s="14">
        <v>44885</v>
      </c>
      <c r="E67" s="14">
        <v>44915</v>
      </c>
      <c r="F67" s="13" t="s">
        <v>13</v>
      </c>
      <c r="G67" s="13" t="s">
        <v>14</v>
      </c>
      <c r="H67" s="13" t="s">
        <v>20</v>
      </c>
      <c r="I67" s="15">
        <v>0.7</v>
      </c>
      <c r="J67" s="13">
        <v>7750</v>
      </c>
      <c r="K67" s="13">
        <v>30</v>
      </c>
      <c r="L67" s="15">
        <v>5425</v>
      </c>
    </row>
    <row r="68" spans="1:12" ht="14.4" x14ac:dyDescent="0.3">
      <c r="A68" s="13" t="s">
        <v>11</v>
      </c>
      <c r="B68" s="13" t="s">
        <v>12</v>
      </c>
      <c r="C68" s="13">
        <v>1128299</v>
      </c>
      <c r="D68" s="14">
        <v>44914</v>
      </c>
      <c r="E68" s="14">
        <v>44944</v>
      </c>
      <c r="F68" s="13" t="s">
        <v>13</v>
      </c>
      <c r="G68" s="13" t="s">
        <v>14</v>
      </c>
      <c r="H68" s="13" t="s">
        <v>15</v>
      </c>
      <c r="I68" s="15">
        <v>0.55000000000000004</v>
      </c>
      <c r="J68" s="13">
        <v>9750</v>
      </c>
      <c r="K68" s="13">
        <v>30</v>
      </c>
      <c r="L68" s="15">
        <v>5362.5</v>
      </c>
    </row>
    <row r="69" spans="1:12" ht="14.4" x14ac:dyDescent="0.3">
      <c r="A69" s="13" t="s">
        <v>11</v>
      </c>
      <c r="B69" s="13" t="s">
        <v>12</v>
      </c>
      <c r="C69" s="13">
        <v>1128299</v>
      </c>
      <c r="D69" s="14">
        <v>44914</v>
      </c>
      <c r="E69" s="14">
        <v>44944</v>
      </c>
      <c r="F69" s="13" t="s">
        <v>13</v>
      </c>
      <c r="G69" s="13" t="s">
        <v>14</v>
      </c>
      <c r="H69" s="13" t="s">
        <v>16</v>
      </c>
      <c r="I69" s="15">
        <v>0.6</v>
      </c>
      <c r="J69" s="13">
        <v>9750</v>
      </c>
      <c r="K69" s="13">
        <v>30</v>
      </c>
      <c r="L69" s="15">
        <v>5850</v>
      </c>
    </row>
    <row r="70" spans="1:12" ht="14.4" x14ac:dyDescent="0.3">
      <c r="A70" s="13" t="s">
        <v>11</v>
      </c>
      <c r="B70" s="13" t="s">
        <v>12</v>
      </c>
      <c r="C70" s="13">
        <v>1128299</v>
      </c>
      <c r="D70" s="14">
        <v>44914</v>
      </c>
      <c r="E70" s="14">
        <v>44944</v>
      </c>
      <c r="F70" s="13" t="s">
        <v>13</v>
      </c>
      <c r="G70" s="13" t="s">
        <v>14</v>
      </c>
      <c r="H70" s="13" t="s">
        <v>17</v>
      </c>
      <c r="I70" s="15">
        <v>0.55000000000000004</v>
      </c>
      <c r="J70" s="13">
        <v>7750</v>
      </c>
      <c r="K70" s="13">
        <v>30</v>
      </c>
      <c r="L70" s="15">
        <v>4262.5</v>
      </c>
    </row>
    <row r="71" spans="1:12" ht="14.4" x14ac:dyDescent="0.3">
      <c r="A71" s="13" t="s">
        <v>11</v>
      </c>
      <c r="B71" s="13" t="s">
        <v>12</v>
      </c>
      <c r="C71" s="13">
        <v>1128299</v>
      </c>
      <c r="D71" s="14">
        <v>44914</v>
      </c>
      <c r="E71" s="14">
        <v>44944</v>
      </c>
      <c r="F71" s="13" t="s">
        <v>13</v>
      </c>
      <c r="G71" s="13" t="s">
        <v>14</v>
      </c>
      <c r="H71" s="13" t="s">
        <v>18</v>
      </c>
      <c r="I71" s="15">
        <v>0.55000000000000004</v>
      </c>
      <c r="J71" s="13">
        <v>7750</v>
      </c>
      <c r="K71" s="13">
        <v>30</v>
      </c>
      <c r="L71" s="15">
        <v>4262.5</v>
      </c>
    </row>
    <row r="72" spans="1:12" ht="14.4" x14ac:dyDescent="0.3">
      <c r="A72" s="13" t="s">
        <v>11</v>
      </c>
      <c r="B72" s="13" t="s">
        <v>12</v>
      </c>
      <c r="C72" s="13">
        <v>1128299</v>
      </c>
      <c r="D72" s="14">
        <v>44914</v>
      </c>
      <c r="E72" s="14">
        <v>44944</v>
      </c>
      <c r="F72" s="13" t="s">
        <v>13</v>
      </c>
      <c r="G72" s="13" t="s">
        <v>14</v>
      </c>
      <c r="H72" s="13" t="s">
        <v>19</v>
      </c>
      <c r="I72" s="15">
        <v>0.65</v>
      </c>
      <c r="J72" s="13">
        <v>7000</v>
      </c>
      <c r="K72" s="13">
        <v>30</v>
      </c>
      <c r="L72" s="15">
        <v>4550</v>
      </c>
    </row>
    <row r="73" spans="1:12" ht="14.4" x14ac:dyDescent="0.3">
      <c r="A73" s="13" t="s">
        <v>11</v>
      </c>
      <c r="B73" s="13" t="s">
        <v>12</v>
      </c>
      <c r="C73" s="13">
        <v>1128299</v>
      </c>
      <c r="D73" s="14">
        <v>44914</v>
      </c>
      <c r="E73" s="14">
        <v>44944</v>
      </c>
      <c r="F73" s="13" t="s">
        <v>13</v>
      </c>
      <c r="G73" s="13" t="s">
        <v>14</v>
      </c>
      <c r="H73" s="13" t="s">
        <v>20</v>
      </c>
      <c r="I73" s="15">
        <v>0.7</v>
      </c>
      <c r="J73" s="13">
        <v>8000</v>
      </c>
      <c r="K73" s="13">
        <v>30</v>
      </c>
      <c r="L73" s="15">
        <v>5600</v>
      </c>
    </row>
    <row r="74" spans="1:12" ht="14.4" x14ac:dyDescent="0.3">
      <c r="A74" s="13" t="s">
        <v>21</v>
      </c>
      <c r="B74" s="13" t="s">
        <v>22</v>
      </c>
      <c r="C74" s="13">
        <v>1197831</v>
      </c>
      <c r="D74" s="14">
        <v>44563</v>
      </c>
      <c r="E74" s="14">
        <v>44593</v>
      </c>
      <c r="F74" s="13" t="s">
        <v>23</v>
      </c>
      <c r="G74" s="13" t="s">
        <v>24</v>
      </c>
      <c r="H74" s="13" t="s">
        <v>15</v>
      </c>
      <c r="I74" s="15">
        <v>0.25</v>
      </c>
      <c r="J74" s="13">
        <v>9000</v>
      </c>
      <c r="K74" s="13">
        <v>30</v>
      </c>
      <c r="L74" s="15">
        <v>2250</v>
      </c>
    </row>
    <row r="75" spans="1:12" ht="14.4" x14ac:dyDescent="0.3">
      <c r="A75" s="13" t="s">
        <v>21</v>
      </c>
      <c r="B75" s="13" t="s">
        <v>22</v>
      </c>
      <c r="C75" s="13">
        <v>1197831</v>
      </c>
      <c r="D75" s="14">
        <v>44563</v>
      </c>
      <c r="E75" s="14">
        <v>44593</v>
      </c>
      <c r="F75" s="13" t="s">
        <v>23</v>
      </c>
      <c r="G75" s="13" t="s">
        <v>24</v>
      </c>
      <c r="H75" s="13" t="s">
        <v>16</v>
      </c>
      <c r="I75" s="15">
        <v>0.35</v>
      </c>
      <c r="J75" s="13">
        <v>9000</v>
      </c>
      <c r="K75" s="13">
        <v>30</v>
      </c>
      <c r="L75" s="15">
        <v>3150</v>
      </c>
    </row>
    <row r="76" spans="1:12" ht="14.4" x14ac:dyDescent="0.3">
      <c r="A76" s="13" t="s">
        <v>21</v>
      </c>
      <c r="B76" s="13" t="s">
        <v>22</v>
      </c>
      <c r="C76" s="13">
        <v>1197831</v>
      </c>
      <c r="D76" s="14">
        <v>44563</v>
      </c>
      <c r="E76" s="14">
        <v>44593</v>
      </c>
      <c r="F76" s="13" t="s">
        <v>23</v>
      </c>
      <c r="G76" s="13" t="s">
        <v>24</v>
      </c>
      <c r="H76" s="13" t="s">
        <v>17</v>
      </c>
      <c r="I76" s="15">
        <v>0.35</v>
      </c>
      <c r="J76" s="13">
        <v>7000</v>
      </c>
      <c r="K76" s="13">
        <v>30</v>
      </c>
      <c r="L76" s="15">
        <v>2450</v>
      </c>
    </row>
    <row r="77" spans="1:12" ht="14.4" x14ac:dyDescent="0.3">
      <c r="A77" s="13" t="s">
        <v>21</v>
      </c>
      <c r="B77" s="13" t="s">
        <v>22</v>
      </c>
      <c r="C77" s="13">
        <v>1197831</v>
      </c>
      <c r="D77" s="14">
        <v>44563</v>
      </c>
      <c r="E77" s="14">
        <v>44593</v>
      </c>
      <c r="F77" s="13" t="s">
        <v>23</v>
      </c>
      <c r="G77" s="13" t="s">
        <v>24</v>
      </c>
      <c r="H77" s="13" t="s">
        <v>18</v>
      </c>
      <c r="I77" s="15">
        <v>0.35</v>
      </c>
      <c r="J77" s="13">
        <v>7000</v>
      </c>
      <c r="K77" s="13">
        <v>30</v>
      </c>
      <c r="L77" s="15">
        <v>2450</v>
      </c>
    </row>
    <row r="78" spans="1:12" ht="14.4" x14ac:dyDescent="0.3">
      <c r="A78" s="13" t="s">
        <v>21</v>
      </c>
      <c r="B78" s="13" t="s">
        <v>22</v>
      </c>
      <c r="C78" s="13">
        <v>1197831</v>
      </c>
      <c r="D78" s="14">
        <v>44563</v>
      </c>
      <c r="E78" s="14">
        <v>44593</v>
      </c>
      <c r="F78" s="13" t="s">
        <v>23</v>
      </c>
      <c r="G78" s="13" t="s">
        <v>24</v>
      </c>
      <c r="H78" s="13" t="s">
        <v>19</v>
      </c>
      <c r="I78" s="15">
        <v>0.4</v>
      </c>
      <c r="J78" s="13">
        <v>5500</v>
      </c>
      <c r="K78" s="13">
        <v>30</v>
      </c>
      <c r="L78" s="15">
        <v>2200</v>
      </c>
    </row>
    <row r="79" spans="1:12" ht="14.4" x14ac:dyDescent="0.3">
      <c r="A79" s="13" t="s">
        <v>21</v>
      </c>
      <c r="B79" s="13" t="s">
        <v>22</v>
      </c>
      <c r="C79" s="13">
        <v>1197831</v>
      </c>
      <c r="D79" s="14">
        <v>44563</v>
      </c>
      <c r="E79" s="14">
        <v>44593</v>
      </c>
      <c r="F79" s="13" t="s">
        <v>23</v>
      </c>
      <c r="G79" s="13" t="s">
        <v>24</v>
      </c>
      <c r="H79" s="13" t="s">
        <v>20</v>
      </c>
      <c r="I79" s="15">
        <v>0.35</v>
      </c>
      <c r="J79" s="13">
        <v>7000</v>
      </c>
      <c r="K79" s="13">
        <v>30</v>
      </c>
      <c r="L79" s="15">
        <v>2450</v>
      </c>
    </row>
    <row r="80" spans="1:12" ht="14.4" x14ac:dyDescent="0.3">
      <c r="A80" s="13" t="s">
        <v>21</v>
      </c>
      <c r="B80" s="13" t="s">
        <v>22</v>
      </c>
      <c r="C80" s="13">
        <v>1197831</v>
      </c>
      <c r="D80" s="14">
        <v>44593</v>
      </c>
      <c r="E80" s="14">
        <v>44623</v>
      </c>
      <c r="F80" s="13" t="s">
        <v>23</v>
      </c>
      <c r="G80" s="13" t="s">
        <v>24</v>
      </c>
      <c r="H80" s="13" t="s">
        <v>15</v>
      </c>
      <c r="I80" s="15">
        <v>0.25</v>
      </c>
      <c r="J80" s="13">
        <v>8500</v>
      </c>
      <c r="K80" s="13">
        <v>30</v>
      </c>
      <c r="L80" s="15">
        <v>2125</v>
      </c>
    </row>
    <row r="81" spans="1:12" ht="14.4" x14ac:dyDescent="0.3">
      <c r="A81" s="13" t="s">
        <v>21</v>
      </c>
      <c r="B81" s="13" t="s">
        <v>22</v>
      </c>
      <c r="C81" s="13">
        <v>1197831</v>
      </c>
      <c r="D81" s="14">
        <v>44593</v>
      </c>
      <c r="E81" s="14">
        <v>44631</v>
      </c>
      <c r="F81" s="13" t="s">
        <v>23</v>
      </c>
      <c r="G81" s="13" t="s">
        <v>24</v>
      </c>
      <c r="H81" s="13" t="s">
        <v>16</v>
      </c>
      <c r="I81" s="15">
        <v>0.35</v>
      </c>
      <c r="J81" s="13">
        <v>8500</v>
      </c>
      <c r="K81" s="13">
        <v>38</v>
      </c>
      <c r="L81" s="15">
        <v>2975</v>
      </c>
    </row>
    <row r="82" spans="1:12" ht="14.4" x14ac:dyDescent="0.3">
      <c r="A82" s="13" t="s">
        <v>21</v>
      </c>
      <c r="B82" s="13" t="s">
        <v>22</v>
      </c>
      <c r="C82" s="13">
        <v>1197831</v>
      </c>
      <c r="D82" s="14">
        <v>44593</v>
      </c>
      <c r="E82" s="14">
        <v>44642</v>
      </c>
      <c r="F82" s="13" t="s">
        <v>23</v>
      </c>
      <c r="G82" s="13" t="s">
        <v>24</v>
      </c>
      <c r="H82" s="13" t="s">
        <v>17</v>
      </c>
      <c r="I82" s="15">
        <v>0.35</v>
      </c>
      <c r="J82" s="13">
        <v>6750</v>
      </c>
      <c r="K82" s="13">
        <v>49</v>
      </c>
      <c r="L82" s="15">
        <v>2362.5</v>
      </c>
    </row>
    <row r="83" spans="1:12" ht="14.4" x14ac:dyDescent="0.3">
      <c r="A83" s="13" t="s">
        <v>21</v>
      </c>
      <c r="B83" s="13" t="s">
        <v>22</v>
      </c>
      <c r="C83" s="13">
        <v>1197831</v>
      </c>
      <c r="D83" s="14">
        <v>44593</v>
      </c>
      <c r="E83" s="14">
        <v>44623</v>
      </c>
      <c r="F83" s="13" t="s">
        <v>23</v>
      </c>
      <c r="G83" s="13" t="s">
        <v>24</v>
      </c>
      <c r="H83" s="13" t="s">
        <v>18</v>
      </c>
      <c r="I83" s="15">
        <v>0.35</v>
      </c>
      <c r="J83" s="13">
        <v>6250</v>
      </c>
      <c r="K83" s="13">
        <v>30</v>
      </c>
      <c r="L83" s="15">
        <v>2187.5</v>
      </c>
    </row>
    <row r="84" spans="1:12" ht="14.4" x14ac:dyDescent="0.3">
      <c r="A84" s="13" t="s">
        <v>21</v>
      </c>
      <c r="B84" s="13" t="s">
        <v>22</v>
      </c>
      <c r="C84" s="13">
        <v>1197831</v>
      </c>
      <c r="D84" s="14">
        <v>44593</v>
      </c>
      <c r="E84" s="14">
        <v>44623</v>
      </c>
      <c r="F84" s="13" t="s">
        <v>23</v>
      </c>
      <c r="G84" s="13" t="s">
        <v>24</v>
      </c>
      <c r="H84" s="13" t="s">
        <v>19</v>
      </c>
      <c r="I84" s="15">
        <v>0.4</v>
      </c>
      <c r="J84" s="13">
        <v>5000</v>
      </c>
      <c r="K84" s="13">
        <v>30</v>
      </c>
      <c r="L84" s="15">
        <v>2000</v>
      </c>
    </row>
    <row r="85" spans="1:12" ht="14.4" x14ac:dyDescent="0.3">
      <c r="A85" s="13" t="s">
        <v>21</v>
      </c>
      <c r="B85" s="13" t="s">
        <v>22</v>
      </c>
      <c r="C85" s="13">
        <v>1197831</v>
      </c>
      <c r="D85" s="14">
        <v>44593</v>
      </c>
      <c r="E85" s="14">
        <v>44623</v>
      </c>
      <c r="F85" s="13" t="s">
        <v>23</v>
      </c>
      <c r="G85" s="13" t="s">
        <v>24</v>
      </c>
      <c r="H85" s="13" t="s">
        <v>20</v>
      </c>
      <c r="I85" s="15">
        <v>0.35</v>
      </c>
      <c r="J85" s="13">
        <v>7000</v>
      </c>
      <c r="K85" s="13">
        <v>30</v>
      </c>
      <c r="L85" s="15">
        <v>2450</v>
      </c>
    </row>
    <row r="86" spans="1:12" ht="14.4" x14ac:dyDescent="0.3">
      <c r="A86" s="13" t="s">
        <v>21</v>
      </c>
      <c r="B86" s="13" t="s">
        <v>22</v>
      </c>
      <c r="C86" s="13">
        <v>1197831</v>
      </c>
      <c r="D86" s="14">
        <v>44623</v>
      </c>
      <c r="E86" s="14">
        <v>44653</v>
      </c>
      <c r="F86" s="13" t="s">
        <v>23</v>
      </c>
      <c r="G86" s="13" t="s">
        <v>24</v>
      </c>
      <c r="H86" s="13" t="s">
        <v>15</v>
      </c>
      <c r="I86" s="15">
        <v>0.3</v>
      </c>
      <c r="J86" s="13">
        <v>8750</v>
      </c>
      <c r="K86" s="13">
        <v>30</v>
      </c>
      <c r="L86" s="15">
        <v>2625</v>
      </c>
    </row>
    <row r="87" spans="1:12" ht="14.4" x14ac:dyDescent="0.3">
      <c r="A87" s="13" t="s">
        <v>21</v>
      </c>
      <c r="B87" s="13" t="s">
        <v>22</v>
      </c>
      <c r="C87" s="13">
        <v>1197831</v>
      </c>
      <c r="D87" s="14">
        <v>44623</v>
      </c>
      <c r="E87" s="14">
        <v>44653</v>
      </c>
      <c r="F87" s="13" t="s">
        <v>23</v>
      </c>
      <c r="G87" s="13" t="s">
        <v>24</v>
      </c>
      <c r="H87" s="13" t="s">
        <v>16</v>
      </c>
      <c r="I87" s="15">
        <v>0.4</v>
      </c>
      <c r="J87" s="13">
        <v>8750</v>
      </c>
      <c r="K87" s="13">
        <v>30</v>
      </c>
      <c r="L87" s="15">
        <v>3500</v>
      </c>
    </row>
    <row r="88" spans="1:12" ht="14.4" x14ac:dyDescent="0.3">
      <c r="A88" s="13" t="s">
        <v>21</v>
      </c>
      <c r="B88" s="13" t="s">
        <v>22</v>
      </c>
      <c r="C88" s="13">
        <v>1197831</v>
      </c>
      <c r="D88" s="14">
        <v>44623</v>
      </c>
      <c r="E88" s="14">
        <v>44653</v>
      </c>
      <c r="F88" s="13" t="s">
        <v>23</v>
      </c>
      <c r="G88" s="13" t="s">
        <v>24</v>
      </c>
      <c r="H88" s="13" t="s">
        <v>17</v>
      </c>
      <c r="I88" s="15">
        <v>0.35</v>
      </c>
      <c r="J88" s="13">
        <v>7000</v>
      </c>
      <c r="K88" s="13">
        <v>30</v>
      </c>
      <c r="L88" s="15">
        <v>2450</v>
      </c>
    </row>
    <row r="89" spans="1:12" ht="14.4" x14ac:dyDescent="0.3">
      <c r="A89" s="13" t="s">
        <v>21</v>
      </c>
      <c r="B89" s="13" t="s">
        <v>22</v>
      </c>
      <c r="C89" s="13">
        <v>1197831</v>
      </c>
      <c r="D89" s="14">
        <v>44623</v>
      </c>
      <c r="E89" s="14">
        <v>44653</v>
      </c>
      <c r="F89" s="13" t="s">
        <v>23</v>
      </c>
      <c r="G89" s="13" t="s">
        <v>24</v>
      </c>
      <c r="H89" s="13" t="s">
        <v>18</v>
      </c>
      <c r="I89" s="15">
        <v>0.4</v>
      </c>
      <c r="J89" s="13">
        <v>6000</v>
      </c>
      <c r="K89" s="13">
        <v>30</v>
      </c>
      <c r="L89" s="15">
        <v>2400</v>
      </c>
    </row>
    <row r="90" spans="1:12" ht="14.4" x14ac:dyDescent="0.3">
      <c r="A90" s="13" t="s">
        <v>21</v>
      </c>
      <c r="B90" s="13" t="s">
        <v>22</v>
      </c>
      <c r="C90" s="13">
        <v>1197831</v>
      </c>
      <c r="D90" s="14">
        <v>44623</v>
      </c>
      <c r="E90" s="14">
        <v>44653</v>
      </c>
      <c r="F90" s="13" t="s">
        <v>23</v>
      </c>
      <c r="G90" s="13" t="s">
        <v>24</v>
      </c>
      <c r="H90" s="13" t="s">
        <v>19</v>
      </c>
      <c r="I90" s="15">
        <v>0.45</v>
      </c>
      <c r="J90" s="13">
        <v>5000</v>
      </c>
      <c r="K90" s="13">
        <v>30</v>
      </c>
      <c r="L90" s="15">
        <v>2250</v>
      </c>
    </row>
    <row r="91" spans="1:12" ht="14.4" x14ac:dyDescent="0.3">
      <c r="A91" s="13" t="s">
        <v>21</v>
      </c>
      <c r="B91" s="13" t="s">
        <v>22</v>
      </c>
      <c r="C91" s="13">
        <v>1197831</v>
      </c>
      <c r="D91" s="14">
        <v>44623</v>
      </c>
      <c r="E91" s="14">
        <v>44653</v>
      </c>
      <c r="F91" s="13" t="s">
        <v>23</v>
      </c>
      <c r="G91" s="13" t="s">
        <v>24</v>
      </c>
      <c r="H91" s="13" t="s">
        <v>20</v>
      </c>
      <c r="I91" s="15">
        <v>0.4</v>
      </c>
      <c r="J91" s="13">
        <v>6500</v>
      </c>
      <c r="K91" s="13">
        <v>30</v>
      </c>
      <c r="L91" s="15">
        <v>2600</v>
      </c>
    </row>
    <row r="92" spans="1:12" ht="14.4" x14ac:dyDescent="0.3">
      <c r="A92" s="13" t="s">
        <v>21</v>
      </c>
      <c r="B92" s="13" t="s">
        <v>22</v>
      </c>
      <c r="C92" s="13">
        <v>1197831</v>
      </c>
      <c r="D92" s="14">
        <v>44653</v>
      </c>
      <c r="E92" s="14">
        <v>44683</v>
      </c>
      <c r="F92" s="13" t="s">
        <v>23</v>
      </c>
      <c r="G92" s="13" t="s">
        <v>24</v>
      </c>
      <c r="H92" s="13" t="s">
        <v>15</v>
      </c>
      <c r="I92" s="15">
        <v>0.3</v>
      </c>
      <c r="J92" s="13">
        <v>9000</v>
      </c>
      <c r="K92" s="13">
        <v>30</v>
      </c>
      <c r="L92" s="15">
        <v>2700</v>
      </c>
    </row>
    <row r="93" spans="1:12" ht="14.4" x14ac:dyDescent="0.3">
      <c r="A93" s="13" t="s">
        <v>21</v>
      </c>
      <c r="B93" s="13" t="s">
        <v>22</v>
      </c>
      <c r="C93" s="13">
        <v>1197831</v>
      </c>
      <c r="D93" s="14">
        <v>44653</v>
      </c>
      <c r="E93" s="14">
        <v>44683</v>
      </c>
      <c r="F93" s="13" t="s">
        <v>23</v>
      </c>
      <c r="G93" s="13" t="s">
        <v>24</v>
      </c>
      <c r="H93" s="13" t="s">
        <v>16</v>
      </c>
      <c r="I93" s="15">
        <v>0.4</v>
      </c>
      <c r="J93" s="13">
        <v>9000</v>
      </c>
      <c r="K93" s="13">
        <v>30</v>
      </c>
      <c r="L93" s="15">
        <v>3600</v>
      </c>
    </row>
    <row r="94" spans="1:12" ht="14.4" x14ac:dyDescent="0.3">
      <c r="A94" s="13" t="s">
        <v>21</v>
      </c>
      <c r="B94" s="13" t="s">
        <v>22</v>
      </c>
      <c r="C94" s="13">
        <v>1197831</v>
      </c>
      <c r="D94" s="14">
        <v>44653</v>
      </c>
      <c r="E94" s="14">
        <v>44683</v>
      </c>
      <c r="F94" s="13" t="s">
        <v>23</v>
      </c>
      <c r="G94" s="13" t="s">
        <v>24</v>
      </c>
      <c r="H94" s="13" t="s">
        <v>17</v>
      </c>
      <c r="I94" s="15">
        <v>0.35</v>
      </c>
      <c r="J94" s="13">
        <v>7250</v>
      </c>
      <c r="K94" s="13">
        <v>30</v>
      </c>
      <c r="L94" s="15">
        <v>2537.5</v>
      </c>
    </row>
    <row r="95" spans="1:12" ht="14.4" x14ac:dyDescent="0.3">
      <c r="A95" s="13" t="s">
        <v>21</v>
      </c>
      <c r="B95" s="13" t="s">
        <v>22</v>
      </c>
      <c r="C95" s="13">
        <v>1197831</v>
      </c>
      <c r="D95" s="14">
        <v>44653</v>
      </c>
      <c r="E95" s="14">
        <v>44683</v>
      </c>
      <c r="F95" s="13" t="s">
        <v>23</v>
      </c>
      <c r="G95" s="13" t="s">
        <v>24</v>
      </c>
      <c r="H95" s="13" t="s">
        <v>18</v>
      </c>
      <c r="I95" s="15">
        <v>0.4</v>
      </c>
      <c r="J95" s="13">
        <v>6250</v>
      </c>
      <c r="K95" s="13">
        <v>30</v>
      </c>
      <c r="L95" s="15">
        <v>2500</v>
      </c>
    </row>
    <row r="96" spans="1:12" ht="14.4" x14ac:dyDescent="0.3">
      <c r="A96" s="13" t="s">
        <v>21</v>
      </c>
      <c r="B96" s="13" t="s">
        <v>22</v>
      </c>
      <c r="C96" s="13">
        <v>1197831</v>
      </c>
      <c r="D96" s="14">
        <v>44653</v>
      </c>
      <c r="E96" s="14">
        <v>44683</v>
      </c>
      <c r="F96" s="13" t="s">
        <v>23</v>
      </c>
      <c r="G96" s="13" t="s">
        <v>24</v>
      </c>
      <c r="H96" s="13" t="s">
        <v>19</v>
      </c>
      <c r="I96" s="15">
        <v>0.45</v>
      </c>
      <c r="J96" s="13">
        <v>5250</v>
      </c>
      <c r="K96" s="13">
        <v>30</v>
      </c>
      <c r="L96" s="15">
        <v>2362.5</v>
      </c>
    </row>
    <row r="97" spans="1:12" ht="14.4" x14ac:dyDescent="0.3">
      <c r="A97" s="13" t="s">
        <v>21</v>
      </c>
      <c r="B97" s="13" t="s">
        <v>22</v>
      </c>
      <c r="C97" s="13">
        <v>1197831</v>
      </c>
      <c r="D97" s="14">
        <v>44653</v>
      </c>
      <c r="E97" s="14">
        <v>44683</v>
      </c>
      <c r="F97" s="13" t="s">
        <v>23</v>
      </c>
      <c r="G97" s="13" t="s">
        <v>24</v>
      </c>
      <c r="H97" s="13" t="s">
        <v>20</v>
      </c>
      <c r="I97" s="15">
        <v>0.4</v>
      </c>
      <c r="J97" s="13">
        <v>8000</v>
      </c>
      <c r="K97" s="13">
        <v>30</v>
      </c>
      <c r="L97" s="15">
        <v>3200</v>
      </c>
    </row>
    <row r="98" spans="1:12" ht="14.4" x14ac:dyDescent="0.3">
      <c r="A98" s="13" t="s">
        <v>21</v>
      </c>
      <c r="B98" s="13" t="s">
        <v>22</v>
      </c>
      <c r="C98" s="13">
        <v>1197831</v>
      </c>
      <c r="D98" s="14">
        <v>44683</v>
      </c>
      <c r="E98" s="14">
        <v>44713</v>
      </c>
      <c r="F98" s="13" t="s">
        <v>23</v>
      </c>
      <c r="G98" s="13" t="s">
        <v>24</v>
      </c>
      <c r="H98" s="13" t="s">
        <v>15</v>
      </c>
      <c r="I98" s="15">
        <v>0.3</v>
      </c>
      <c r="J98" s="13">
        <v>9250</v>
      </c>
      <c r="K98" s="13">
        <v>30</v>
      </c>
      <c r="L98" s="15">
        <v>2775</v>
      </c>
    </row>
    <row r="99" spans="1:12" ht="14.4" x14ac:dyDescent="0.3">
      <c r="A99" s="13" t="s">
        <v>21</v>
      </c>
      <c r="B99" s="13" t="s">
        <v>22</v>
      </c>
      <c r="C99" s="13">
        <v>1197831</v>
      </c>
      <c r="D99" s="14">
        <v>44683</v>
      </c>
      <c r="E99" s="14">
        <v>44713</v>
      </c>
      <c r="F99" s="13" t="s">
        <v>23</v>
      </c>
      <c r="G99" s="13" t="s">
        <v>24</v>
      </c>
      <c r="H99" s="13" t="s">
        <v>16</v>
      </c>
      <c r="I99" s="15">
        <v>0.4</v>
      </c>
      <c r="J99" s="13">
        <v>9250</v>
      </c>
      <c r="K99" s="13">
        <v>30</v>
      </c>
      <c r="L99" s="15">
        <v>3700</v>
      </c>
    </row>
    <row r="100" spans="1:12" ht="14.4" x14ac:dyDescent="0.3">
      <c r="A100" s="13" t="s">
        <v>21</v>
      </c>
      <c r="B100" s="13" t="s">
        <v>22</v>
      </c>
      <c r="C100" s="13">
        <v>1197831</v>
      </c>
      <c r="D100" s="14">
        <v>44683</v>
      </c>
      <c r="E100" s="14">
        <v>44713</v>
      </c>
      <c r="F100" s="13" t="s">
        <v>23</v>
      </c>
      <c r="G100" s="13" t="s">
        <v>24</v>
      </c>
      <c r="H100" s="13" t="s">
        <v>17</v>
      </c>
      <c r="I100" s="15">
        <v>0.35</v>
      </c>
      <c r="J100" s="13">
        <v>7750</v>
      </c>
      <c r="K100" s="13">
        <v>30</v>
      </c>
      <c r="L100" s="15">
        <v>2712.5</v>
      </c>
    </row>
    <row r="101" spans="1:12" ht="14.4" x14ac:dyDescent="0.3">
      <c r="A101" s="13" t="s">
        <v>21</v>
      </c>
      <c r="B101" s="13" t="s">
        <v>22</v>
      </c>
      <c r="C101" s="13">
        <v>1197831</v>
      </c>
      <c r="D101" s="14">
        <v>44683</v>
      </c>
      <c r="E101" s="14">
        <v>44713</v>
      </c>
      <c r="F101" s="13" t="s">
        <v>23</v>
      </c>
      <c r="G101" s="13" t="s">
        <v>24</v>
      </c>
      <c r="H101" s="13" t="s">
        <v>18</v>
      </c>
      <c r="I101" s="15">
        <v>0.4</v>
      </c>
      <c r="J101" s="13">
        <v>7000</v>
      </c>
      <c r="K101" s="13">
        <v>30</v>
      </c>
      <c r="L101" s="15">
        <v>2800</v>
      </c>
    </row>
    <row r="102" spans="1:12" ht="14.4" x14ac:dyDescent="0.3">
      <c r="A102" s="13" t="s">
        <v>21</v>
      </c>
      <c r="B102" s="13" t="s">
        <v>22</v>
      </c>
      <c r="C102" s="13">
        <v>1197831</v>
      </c>
      <c r="D102" s="14">
        <v>44683</v>
      </c>
      <c r="E102" s="14">
        <v>44713</v>
      </c>
      <c r="F102" s="13" t="s">
        <v>23</v>
      </c>
      <c r="G102" s="13" t="s">
        <v>24</v>
      </c>
      <c r="H102" s="13" t="s">
        <v>19</v>
      </c>
      <c r="I102" s="15">
        <v>0.45</v>
      </c>
      <c r="J102" s="13">
        <v>6000</v>
      </c>
      <c r="K102" s="13">
        <v>30</v>
      </c>
      <c r="L102" s="15">
        <v>2700</v>
      </c>
    </row>
    <row r="103" spans="1:12" ht="14.4" x14ac:dyDescent="0.3">
      <c r="A103" s="13" t="s">
        <v>21</v>
      </c>
      <c r="B103" s="13" t="s">
        <v>22</v>
      </c>
      <c r="C103" s="13">
        <v>1197831</v>
      </c>
      <c r="D103" s="14">
        <v>44683</v>
      </c>
      <c r="E103" s="14">
        <v>44713</v>
      </c>
      <c r="F103" s="13" t="s">
        <v>23</v>
      </c>
      <c r="G103" s="13" t="s">
        <v>24</v>
      </c>
      <c r="H103" s="13" t="s">
        <v>20</v>
      </c>
      <c r="I103" s="15">
        <v>0.4</v>
      </c>
      <c r="J103" s="13">
        <v>9500</v>
      </c>
      <c r="K103" s="13">
        <v>30</v>
      </c>
      <c r="L103" s="15">
        <v>3800</v>
      </c>
    </row>
    <row r="104" spans="1:12" ht="14.4" x14ac:dyDescent="0.3">
      <c r="A104" s="13" t="s">
        <v>21</v>
      </c>
      <c r="B104" s="13" t="s">
        <v>22</v>
      </c>
      <c r="C104" s="13">
        <v>1197831</v>
      </c>
      <c r="D104" s="14">
        <v>44713</v>
      </c>
      <c r="E104" s="14">
        <v>44743</v>
      </c>
      <c r="F104" s="13" t="s">
        <v>23</v>
      </c>
      <c r="G104" s="13" t="s">
        <v>24</v>
      </c>
      <c r="H104" s="13" t="s">
        <v>15</v>
      </c>
      <c r="I104" s="15">
        <v>0.4</v>
      </c>
      <c r="J104" s="13">
        <v>9500</v>
      </c>
      <c r="K104" s="13">
        <v>30</v>
      </c>
      <c r="L104" s="15">
        <v>3800</v>
      </c>
    </row>
    <row r="105" spans="1:12" ht="14.4" x14ac:dyDescent="0.3">
      <c r="A105" s="13" t="s">
        <v>21</v>
      </c>
      <c r="B105" s="13" t="s">
        <v>22</v>
      </c>
      <c r="C105" s="13">
        <v>1197831</v>
      </c>
      <c r="D105" s="14">
        <v>44713</v>
      </c>
      <c r="E105" s="14">
        <v>44743</v>
      </c>
      <c r="F105" s="13" t="s">
        <v>23</v>
      </c>
      <c r="G105" s="13" t="s">
        <v>24</v>
      </c>
      <c r="H105" s="13" t="s">
        <v>16</v>
      </c>
      <c r="I105" s="15">
        <v>0.45</v>
      </c>
      <c r="J105" s="13">
        <v>9500</v>
      </c>
      <c r="K105" s="13">
        <v>30</v>
      </c>
      <c r="L105" s="15">
        <v>4275</v>
      </c>
    </row>
    <row r="106" spans="1:12" ht="14.4" x14ac:dyDescent="0.3">
      <c r="A106" s="13" t="s">
        <v>21</v>
      </c>
      <c r="B106" s="13" t="s">
        <v>22</v>
      </c>
      <c r="C106" s="13">
        <v>1197831</v>
      </c>
      <c r="D106" s="14">
        <v>44713</v>
      </c>
      <c r="E106" s="14">
        <v>44743</v>
      </c>
      <c r="F106" s="13" t="s">
        <v>23</v>
      </c>
      <c r="G106" s="13" t="s">
        <v>24</v>
      </c>
      <c r="H106" s="13" t="s">
        <v>17</v>
      </c>
      <c r="I106" s="15">
        <v>0.4</v>
      </c>
      <c r="J106" s="13">
        <v>8000</v>
      </c>
      <c r="K106" s="13">
        <v>30</v>
      </c>
      <c r="L106" s="15">
        <v>3200</v>
      </c>
    </row>
    <row r="107" spans="1:12" ht="14.4" x14ac:dyDescent="0.3">
      <c r="A107" s="13" t="s">
        <v>21</v>
      </c>
      <c r="B107" s="13" t="s">
        <v>22</v>
      </c>
      <c r="C107" s="13">
        <v>1197831</v>
      </c>
      <c r="D107" s="14">
        <v>44713</v>
      </c>
      <c r="E107" s="14">
        <v>44743</v>
      </c>
      <c r="F107" s="13" t="s">
        <v>23</v>
      </c>
      <c r="G107" s="13" t="s">
        <v>24</v>
      </c>
      <c r="H107" s="13" t="s">
        <v>18</v>
      </c>
      <c r="I107" s="15">
        <v>0.4</v>
      </c>
      <c r="J107" s="13">
        <v>7500</v>
      </c>
      <c r="K107" s="13">
        <v>30</v>
      </c>
      <c r="L107" s="15">
        <v>3000</v>
      </c>
    </row>
    <row r="108" spans="1:12" ht="14.4" x14ac:dyDescent="0.3">
      <c r="A108" s="13" t="s">
        <v>21</v>
      </c>
      <c r="B108" s="13" t="s">
        <v>22</v>
      </c>
      <c r="C108" s="13">
        <v>1197831</v>
      </c>
      <c r="D108" s="14">
        <v>44713</v>
      </c>
      <c r="E108" s="14">
        <v>44743</v>
      </c>
      <c r="F108" s="13" t="s">
        <v>23</v>
      </c>
      <c r="G108" s="13" t="s">
        <v>24</v>
      </c>
      <c r="H108" s="13" t="s">
        <v>19</v>
      </c>
      <c r="I108" s="15">
        <v>0.45</v>
      </c>
      <c r="J108" s="13">
        <v>6500</v>
      </c>
      <c r="K108" s="13">
        <v>30</v>
      </c>
      <c r="L108" s="15">
        <v>2925</v>
      </c>
    </row>
    <row r="109" spans="1:12" ht="14.4" x14ac:dyDescent="0.3">
      <c r="A109" s="13" t="s">
        <v>21</v>
      </c>
      <c r="B109" s="13" t="s">
        <v>22</v>
      </c>
      <c r="C109" s="13">
        <v>1197831</v>
      </c>
      <c r="D109" s="14">
        <v>44713</v>
      </c>
      <c r="E109" s="14">
        <v>44743</v>
      </c>
      <c r="F109" s="13" t="s">
        <v>23</v>
      </c>
      <c r="G109" s="13" t="s">
        <v>24</v>
      </c>
      <c r="H109" s="13" t="s">
        <v>20</v>
      </c>
      <c r="I109" s="15">
        <v>0.5</v>
      </c>
      <c r="J109" s="13">
        <v>10000</v>
      </c>
      <c r="K109" s="13">
        <v>30</v>
      </c>
      <c r="L109" s="15">
        <v>5000</v>
      </c>
    </row>
    <row r="110" spans="1:12" ht="14.4" x14ac:dyDescent="0.3">
      <c r="A110" s="13" t="s">
        <v>21</v>
      </c>
      <c r="B110" s="13" t="s">
        <v>22</v>
      </c>
      <c r="C110" s="13">
        <v>1197831</v>
      </c>
      <c r="D110" s="14">
        <v>44745</v>
      </c>
      <c r="E110" s="14">
        <v>44775</v>
      </c>
      <c r="F110" s="13" t="s">
        <v>23</v>
      </c>
      <c r="G110" s="13" t="s">
        <v>24</v>
      </c>
      <c r="H110" s="13" t="s">
        <v>15</v>
      </c>
      <c r="I110" s="15">
        <v>0.4</v>
      </c>
      <c r="J110" s="13">
        <v>9500</v>
      </c>
      <c r="K110" s="13">
        <v>30</v>
      </c>
      <c r="L110" s="15">
        <v>3800</v>
      </c>
    </row>
    <row r="111" spans="1:12" ht="14.4" x14ac:dyDescent="0.3">
      <c r="A111" s="13" t="s">
        <v>21</v>
      </c>
      <c r="B111" s="13" t="s">
        <v>22</v>
      </c>
      <c r="C111" s="13">
        <v>1197831</v>
      </c>
      <c r="D111" s="14">
        <v>44745</v>
      </c>
      <c r="E111" s="14">
        <v>44775</v>
      </c>
      <c r="F111" s="13" t="s">
        <v>23</v>
      </c>
      <c r="G111" s="13" t="s">
        <v>24</v>
      </c>
      <c r="H111" s="13" t="s">
        <v>16</v>
      </c>
      <c r="I111" s="15">
        <v>0.45</v>
      </c>
      <c r="J111" s="13">
        <v>9500</v>
      </c>
      <c r="K111" s="13">
        <v>30</v>
      </c>
      <c r="L111" s="15">
        <v>4275</v>
      </c>
    </row>
    <row r="112" spans="1:12" ht="14.4" x14ac:dyDescent="0.3">
      <c r="A112" s="13" t="s">
        <v>21</v>
      </c>
      <c r="B112" s="13" t="s">
        <v>22</v>
      </c>
      <c r="C112" s="13">
        <v>1197831</v>
      </c>
      <c r="D112" s="14">
        <v>44745</v>
      </c>
      <c r="E112" s="14">
        <v>44775</v>
      </c>
      <c r="F112" s="13" t="s">
        <v>23</v>
      </c>
      <c r="G112" s="13" t="s">
        <v>24</v>
      </c>
      <c r="H112" s="13" t="s">
        <v>17</v>
      </c>
      <c r="I112" s="15">
        <v>0.4</v>
      </c>
      <c r="J112" s="13">
        <v>11000</v>
      </c>
      <c r="K112" s="13">
        <v>30</v>
      </c>
      <c r="L112" s="15">
        <v>4400</v>
      </c>
    </row>
    <row r="113" spans="1:12" ht="14.4" x14ac:dyDescent="0.3">
      <c r="A113" s="13" t="s">
        <v>21</v>
      </c>
      <c r="B113" s="13" t="s">
        <v>22</v>
      </c>
      <c r="C113" s="13">
        <v>1197831</v>
      </c>
      <c r="D113" s="14">
        <v>44745</v>
      </c>
      <c r="E113" s="14">
        <v>44775</v>
      </c>
      <c r="F113" s="13" t="s">
        <v>23</v>
      </c>
      <c r="G113" s="13" t="s">
        <v>24</v>
      </c>
      <c r="H113" s="13" t="s">
        <v>18</v>
      </c>
      <c r="I113" s="15">
        <v>0.4</v>
      </c>
      <c r="J113" s="13">
        <v>7000</v>
      </c>
      <c r="K113" s="13">
        <v>30</v>
      </c>
      <c r="L113" s="15">
        <v>2800</v>
      </c>
    </row>
    <row r="114" spans="1:12" ht="14.4" x14ac:dyDescent="0.3">
      <c r="A114" s="13" t="s">
        <v>21</v>
      </c>
      <c r="B114" s="13" t="s">
        <v>22</v>
      </c>
      <c r="C114" s="13">
        <v>1197831</v>
      </c>
      <c r="D114" s="14">
        <v>44745</v>
      </c>
      <c r="E114" s="14">
        <v>44775</v>
      </c>
      <c r="F114" s="13" t="s">
        <v>23</v>
      </c>
      <c r="G114" s="13" t="s">
        <v>24</v>
      </c>
      <c r="H114" s="13" t="s">
        <v>19</v>
      </c>
      <c r="I114" s="15">
        <v>0.45</v>
      </c>
      <c r="J114" s="13">
        <v>7000</v>
      </c>
      <c r="K114" s="13">
        <v>30</v>
      </c>
      <c r="L114" s="15">
        <v>3150</v>
      </c>
    </row>
    <row r="115" spans="1:12" ht="14.4" x14ac:dyDescent="0.3">
      <c r="A115" s="13" t="s">
        <v>21</v>
      </c>
      <c r="B115" s="13" t="s">
        <v>22</v>
      </c>
      <c r="C115" s="13">
        <v>1197831</v>
      </c>
      <c r="D115" s="14">
        <v>44745</v>
      </c>
      <c r="E115" s="14">
        <v>44775</v>
      </c>
      <c r="F115" s="13" t="s">
        <v>23</v>
      </c>
      <c r="G115" s="13" t="s">
        <v>24</v>
      </c>
      <c r="H115" s="13" t="s">
        <v>20</v>
      </c>
      <c r="I115" s="15">
        <v>0.5</v>
      </c>
      <c r="J115" s="13">
        <v>9750</v>
      </c>
      <c r="K115" s="13">
        <v>30</v>
      </c>
      <c r="L115" s="15">
        <v>4875</v>
      </c>
    </row>
    <row r="116" spans="1:12" ht="14.4" x14ac:dyDescent="0.3">
      <c r="A116" s="13" t="s">
        <v>21</v>
      </c>
      <c r="B116" s="13" t="s">
        <v>22</v>
      </c>
      <c r="C116" s="13">
        <v>1197831</v>
      </c>
      <c r="D116" s="14">
        <v>44778</v>
      </c>
      <c r="E116" s="14">
        <v>44808</v>
      </c>
      <c r="F116" s="13" t="s">
        <v>23</v>
      </c>
      <c r="G116" s="13" t="s">
        <v>24</v>
      </c>
      <c r="H116" s="13" t="s">
        <v>15</v>
      </c>
      <c r="I116" s="15">
        <v>0.4</v>
      </c>
      <c r="J116" s="13">
        <v>9250</v>
      </c>
      <c r="K116" s="13">
        <v>30</v>
      </c>
      <c r="L116" s="15">
        <v>3700</v>
      </c>
    </row>
    <row r="117" spans="1:12" ht="14.4" x14ac:dyDescent="0.3">
      <c r="A117" s="13" t="s">
        <v>21</v>
      </c>
      <c r="B117" s="13" t="s">
        <v>22</v>
      </c>
      <c r="C117" s="13">
        <v>1197831</v>
      </c>
      <c r="D117" s="14">
        <v>44778</v>
      </c>
      <c r="E117" s="14">
        <v>44808</v>
      </c>
      <c r="F117" s="13" t="s">
        <v>23</v>
      </c>
      <c r="G117" s="13" t="s">
        <v>24</v>
      </c>
      <c r="H117" s="13" t="s">
        <v>16</v>
      </c>
      <c r="I117" s="15">
        <v>0.45</v>
      </c>
      <c r="J117" s="13">
        <v>9250</v>
      </c>
      <c r="K117" s="13">
        <v>30</v>
      </c>
      <c r="L117" s="15">
        <v>4162.5</v>
      </c>
    </row>
    <row r="118" spans="1:12" ht="14.4" x14ac:dyDescent="0.3">
      <c r="A118" s="13" t="s">
        <v>21</v>
      </c>
      <c r="B118" s="13" t="s">
        <v>22</v>
      </c>
      <c r="C118" s="13">
        <v>1197831</v>
      </c>
      <c r="D118" s="14">
        <v>44778</v>
      </c>
      <c r="E118" s="14">
        <v>44808</v>
      </c>
      <c r="F118" s="13" t="s">
        <v>23</v>
      </c>
      <c r="G118" s="13" t="s">
        <v>24</v>
      </c>
      <c r="H118" s="13" t="s">
        <v>17</v>
      </c>
      <c r="I118" s="15">
        <v>0.4</v>
      </c>
      <c r="J118" s="13">
        <v>11000</v>
      </c>
      <c r="K118" s="13">
        <v>30</v>
      </c>
      <c r="L118" s="15">
        <v>4400</v>
      </c>
    </row>
    <row r="119" spans="1:12" ht="14.4" x14ac:dyDescent="0.3">
      <c r="A119" s="13" t="s">
        <v>21</v>
      </c>
      <c r="B119" s="13" t="s">
        <v>22</v>
      </c>
      <c r="C119" s="13">
        <v>1197831</v>
      </c>
      <c r="D119" s="14">
        <v>44778</v>
      </c>
      <c r="E119" s="14">
        <v>44808</v>
      </c>
      <c r="F119" s="13" t="s">
        <v>23</v>
      </c>
      <c r="G119" s="13" t="s">
        <v>24</v>
      </c>
      <c r="H119" s="13" t="s">
        <v>18</v>
      </c>
      <c r="I119" s="15">
        <v>0.4</v>
      </c>
      <c r="J119" s="13">
        <v>6500</v>
      </c>
      <c r="K119" s="13">
        <v>30</v>
      </c>
      <c r="L119" s="15">
        <v>2600</v>
      </c>
    </row>
    <row r="120" spans="1:12" ht="14.4" x14ac:dyDescent="0.3">
      <c r="A120" s="13" t="s">
        <v>21</v>
      </c>
      <c r="B120" s="13" t="s">
        <v>22</v>
      </c>
      <c r="C120" s="13">
        <v>1197831</v>
      </c>
      <c r="D120" s="14">
        <v>44778</v>
      </c>
      <c r="E120" s="14">
        <v>44808</v>
      </c>
      <c r="F120" s="13" t="s">
        <v>23</v>
      </c>
      <c r="G120" s="13" t="s">
        <v>24</v>
      </c>
      <c r="H120" s="13" t="s">
        <v>19</v>
      </c>
      <c r="I120" s="15">
        <v>0.45</v>
      </c>
      <c r="J120" s="13">
        <v>6500</v>
      </c>
      <c r="K120" s="13">
        <v>30</v>
      </c>
      <c r="L120" s="15">
        <v>2925</v>
      </c>
    </row>
    <row r="121" spans="1:12" ht="14.4" x14ac:dyDescent="0.3">
      <c r="A121" s="13" t="s">
        <v>21</v>
      </c>
      <c r="B121" s="13" t="s">
        <v>22</v>
      </c>
      <c r="C121" s="13">
        <v>1197831</v>
      </c>
      <c r="D121" s="14">
        <v>44778</v>
      </c>
      <c r="E121" s="14">
        <v>44808</v>
      </c>
      <c r="F121" s="13" t="s">
        <v>23</v>
      </c>
      <c r="G121" s="13" t="s">
        <v>24</v>
      </c>
      <c r="H121" s="13" t="s">
        <v>20</v>
      </c>
      <c r="I121" s="15">
        <v>0.5</v>
      </c>
      <c r="J121" s="13">
        <v>9000</v>
      </c>
      <c r="K121" s="13">
        <v>30</v>
      </c>
      <c r="L121" s="15">
        <v>4500</v>
      </c>
    </row>
    <row r="122" spans="1:12" ht="14.4" x14ac:dyDescent="0.3">
      <c r="A122" s="13" t="s">
        <v>21</v>
      </c>
      <c r="B122" s="13" t="s">
        <v>22</v>
      </c>
      <c r="C122" s="13">
        <v>1197831</v>
      </c>
      <c r="D122" s="14">
        <v>44806</v>
      </c>
      <c r="E122" s="14">
        <v>44836</v>
      </c>
      <c r="F122" s="13" t="s">
        <v>23</v>
      </c>
      <c r="G122" s="13" t="s">
        <v>24</v>
      </c>
      <c r="H122" s="13" t="s">
        <v>15</v>
      </c>
      <c r="I122" s="15">
        <v>0.45</v>
      </c>
      <c r="J122" s="13">
        <v>8500</v>
      </c>
      <c r="K122" s="13">
        <v>30</v>
      </c>
      <c r="L122" s="15">
        <v>3825</v>
      </c>
    </row>
    <row r="123" spans="1:12" ht="14.4" x14ac:dyDescent="0.3">
      <c r="A123" s="13" t="s">
        <v>21</v>
      </c>
      <c r="B123" s="13" t="s">
        <v>22</v>
      </c>
      <c r="C123" s="13">
        <v>1197831</v>
      </c>
      <c r="D123" s="14">
        <v>44806</v>
      </c>
      <c r="E123" s="14">
        <v>44836</v>
      </c>
      <c r="F123" s="13" t="s">
        <v>23</v>
      </c>
      <c r="G123" s="13" t="s">
        <v>24</v>
      </c>
      <c r="H123" s="13" t="s">
        <v>16</v>
      </c>
      <c r="I123" s="15">
        <v>0.45</v>
      </c>
      <c r="J123" s="13">
        <v>8500</v>
      </c>
      <c r="K123" s="13">
        <v>30</v>
      </c>
      <c r="L123" s="15">
        <v>3825</v>
      </c>
    </row>
    <row r="124" spans="1:12" ht="14.4" x14ac:dyDescent="0.3">
      <c r="A124" s="13" t="s">
        <v>21</v>
      </c>
      <c r="B124" s="13" t="s">
        <v>22</v>
      </c>
      <c r="C124" s="13">
        <v>1197831</v>
      </c>
      <c r="D124" s="14">
        <v>44806</v>
      </c>
      <c r="E124" s="14">
        <v>44836</v>
      </c>
      <c r="F124" s="13" t="s">
        <v>23</v>
      </c>
      <c r="G124" s="13" t="s">
        <v>24</v>
      </c>
      <c r="H124" s="13" t="s">
        <v>17</v>
      </c>
      <c r="I124" s="15">
        <v>0.5</v>
      </c>
      <c r="J124" s="13">
        <v>9000</v>
      </c>
      <c r="K124" s="13">
        <v>30</v>
      </c>
      <c r="L124" s="15">
        <v>4500</v>
      </c>
    </row>
    <row r="125" spans="1:12" ht="14.4" x14ac:dyDescent="0.3">
      <c r="A125" s="13" t="s">
        <v>21</v>
      </c>
      <c r="B125" s="13" t="s">
        <v>22</v>
      </c>
      <c r="C125" s="13">
        <v>1197831</v>
      </c>
      <c r="D125" s="14">
        <v>44806</v>
      </c>
      <c r="E125" s="14">
        <v>44836</v>
      </c>
      <c r="F125" s="13" t="s">
        <v>23</v>
      </c>
      <c r="G125" s="13" t="s">
        <v>24</v>
      </c>
      <c r="H125" s="13" t="s">
        <v>18</v>
      </c>
      <c r="I125" s="15">
        <v>0.5</v>
      </c>
      <c r="J125" s="13">
        <v>6250</v>
      </c>
      <c r="K125" s="13">
        <v>30</v>
      </c>
      <c r="L125" s="15">
        <v>3125</v>
      </c>
    </row>
    <row r="126" spans="1:12" ht="14.4" x14ac:dyDescent="0.3">
      <c r="A126" s="13" t="s">
        <v>21</v>
      </c>
      <c r="B126" s="13" t="s">
        <v>22</v>
      </c>
      <c r="C126" s="13">
        <v>1197831</v>
      </c>
      <c r="D126" s="14">
        <v>44806</v>
      </c>
      <c r="E126" s="14">
        <v>44836</v>
      </c>
      <c r="F126" s="13" t="s">
        <v>23</v>
      </c>
      <c r="G126" s="13" t="s">
        <v>24</v>
      </c>
      <c r="H126" s="13" t="s">
        <v>19</v>
      </c>
      <c r="I126" s="15">
        <v>0.45</v>
      </c>
      <c r="J126" s="13">
        <v>6250</v>
      </c>
      <c r="K126" s="13">
        <v>30</v>
      </c>
      <c r="L126" s="15">
        <v>2812.5</v>
      </c>
    </row>
    <row r="127" spans="1:12" ht="14.4" x14ac:dyDescent="0.3">
      <c r="A127" s="13" t="s">
        <v>21</v>
      </c>
      <c r="B127" s="13" t="s">
        <v>22</v>
      </c>
      <c r="C127" s="13">
        <v>1197831</v>
      </c>
      <c r="D127" s="14">
        <v>44806</v>
      </c>
      <c r="E127" s="14">
        <v>44836</v>
      </c>
      <c r="F127" s="13" t="s">
        <v>23</v>
      </c>
      <c r="G127" s="13" t="s">
        <v>24</v>
      </c>
      <c r="H127" s="13" t="s">
        <v>20</v>
      </c>
      <c r="I127" s="15">
        <v>0.55000000000000004</v>
      </c>
      <c r="J127" s="13">
        <v>8500</v>
      </c>
      <c r="K127" s="13">
        <v>30</v>
      </c>
      <c r="L127" s="15">
        <v>4675</v>
      </c>
    </row>
    <row r="128" spans="1:12" ht="14.4" x14ac:dyDescent="0.3">
      <c r="A128" s="13" t="s">
        <v>21</v>
      </c>
      <c r="B128" s="13" t="s">
        <v>22</v>
      </c>
      <c r="C128" s="13">
        <v>1197831</v>
      </c>
      <c r="D128" s="14">
        <v>44835</v>
      </c>
      <c r="E128" s="14">
        <v>44865</v>
      </c>
      <c r="F128" s="13" t="s">
        <v>23</v>
      </c>
      <c r="G128" s="13" t="s">
        <v>24</v>
      </c>
      <c r="H128" s="13" t="s">
        <v>15</v>
      </c>
      <c r="I128" s="15">
        <v>0.45</v>
      </c>
      <c r="J128" s="13">
        <v>8000</v>
      </c>
      <c r="K128" s="13">
        <v>30</v>
      </c>
      <c r="L128" s="15">
        <v>3600</v>
      </c>
    </row>
    <row r="129" spans="1:12" ht="14.4" x14ac:dyDescent="0.3">
      <c r="A129" s="13" t="s">
        <v>21</v>
      </c>
      <c r="B129" s="13" t="s">
        <v>22</v>
      </c>
      <c r="C129" s="13">
        <v>1197831</v>
      </c>
      <c r="D129" s="14">
        <v>44835</v>
      </c>
      <c r="E129" s="14">
        <v>44865</v>
      </c>
      <c r="F129" s="13" t="s">
        <v>23</v>
      </c>
      <c r="G129" s="13" t="s">
        <v>24</v>
      </c>
      <c r="H129" s="13" t="s">
        <v>16</v>
      </c>
      <c r="I129" s="15">
        <v>0.45</v>
      </c>
      <c r="J129" s="13">
        <v>8000</v>
      </c>
      <c r="K129" s="13">
        <v>30</v>
      </c>
      <c r="L129" s="15">
        <v>3600</v>
      </c>
    </row>
    <row r="130" spans="1:12" ht="14.4" x14ac:dyDescent="0.3">
      <c r="A130" s="13" t="s">
        <v>21</v>
      </c>
      <c r="B130" s="13" t="s">
        <v>22</v>
      </c>
      <c r="C130" s="13">
        <v>1197831</v>
      </c>
      <c r="D130" s="14">
        <v>44835</v>
      </c>
      <c r="E130" s="14">
        <v>44865</v>
      </c>
      <c r="F130" s="13" t="s">
        <v>23</v>
      </c>
      <c r="G130" s="13" t="s">
        <v>24</v>
      </c>
      <c r="H130" s="13" t="s">
        <v>17</v>
      </c>
      <c r="I130" s="15">
        <v>0.5</v>
      </c>
      <c r="J130" s="13">
        <v>7500</v>
      </c>
      <c r="K130" s="13">
        <v>30</v>
      </c>
      <c r="L130" s="15">
        <v>3750</v>
      </c>
    </row>
    <row r="131" spans="1:12" ht="14.4" x14ac:dyDescent="0.3">
      <c r="A131" s="13" t="s">
        <v>21</v>
      </c>
      <c r="B131" s="13" t="s">
        <v>22</v>
      </c>
      <c r="C131" s="13">
        <v>1197831</v>
      </c>
      <c r="D131" s="14">
        <v>44835</v>
      </c>
      <c r="E131" s="14">
        <v>44865</v>
      </c>
      <c r="F131" s="13" t="s">
        <v>23</v>
      </c>
      <c r="G131" s="13" t="s">
        <v>24</v>
      </c>
      <c r="H131" s="13" t="s">
        <v>18</v>
      </c>
      <c r="I131" s="15">
        <v>0.5</v>
      </c>
      <c r="J131" s="13">
        <v>6000</v>
      </c>
      <c r="K131" s="13">
        <v>30</v>
      </c>
      <c r="L131" s="15">
        <v>3000</v>
      </c>
    </row>
    <row r="132" spans="1:12" ht="14.4" x14ac:dyDescent="0.3">
      <c r="A132" s="13" t="s">
        <v>21</v>
      </c>
      <c r="B132" s="13" t="s">
        <v>22</v>
      </c>
      <c r="C132" s="13">
        <v>1197831</v>
      </c>
      <c r="D132" s="14">
        <v>44835</v>
      </c>
      <c r="E132" s="14">
        <v>44865</v>
      </c>
      <c r="F132" s="13" t="s">
        <v>23</v>
      </c>
      <c r="G132" s="13" t="s">
        <v>24</v>
      </c>
      <c r="H132" s="13" t="s">
        <v>19</v>
      </c>
      <c r="I132" s="15">
        <v>0.45</v>
      </c>
      <c r="J132" s="13">
        <v>5750</v>
      </c>
      <c r="K132" s="13">
        <v>30</v>
      </c>
      <c r="L132" s="15">
        <v>2587.5</v>
      </c>
    </row>
    <row r="133" spans="1:12" ht="14.4" x14ac:dyDescent="0.3">
      <c r="A133" s="13" t="s">
        <v>21</v>
      </c>
      <c r="B133" s="13" t="s">
        <v>22</v>
      </c>
      <c r="C133" s="13">
        <v>1197831</v>
      </c>
      <c r="D133" s="14">
        <v>44835</v>
      </c>
      <c r="E133" s="14">
        <v>44865</v>
      </c>
      <c r="F133" s="13" t="s">
        <v>23</v>
      </c>
      <c r="G133" s="13" t="s">
        <v>24</v>
      </c>
      <c r="H133" s="13" t="s">
        <v>20</v>
      </c>
      <c r="I133" s="15">
        <v>0.55000000000000004</v>
      </c>
      <c r="J133" s="13">
        <v>7500</v>
      </c>
      <c r="K133" s="13">
        <v>30</v>
      </c>
      <c r="L133" s="15">
        <v>4125</v>
      </c>
    </row>
    <row r="134" spans="1:12" ht="14.4" x14ac:dyDescent="0.3">
      <c r="A134" s="13" t="s">
        <v>21</v>
      </c>
      <c r="B134" s="13" t="s">
        <v>22</v>
      </c>
      <c r="C134" s="13">
        <v>1197831</v>
      </c>
      <c r="D134" s="14">
        <v>44867</v>
      </c>
      <c r="E134" s="14">
        <v>44897</v>
      </c>
      <c r="F134" s="13" t="s">
        <v>23</v>
      </c>
      <c r="G134" s="13" t="s">
        <v>24</v>
      </c>
      <c r="H134" s="13" t="s">
        <v>15</v>
      </c>
      <c r="I134" s="15">
        <v>0.45</v>
      </c>
      <c r="J134" s="13">
        <v>9000</v>
      </c>
      <c r="K134" s="13">
        <v>30</v>
      </c>
      <c r="L134" s="15">
        <v>4050</v>
      </c>
    </row>
    <row r="135" spans="1:12" ht="14.4" x14ac:dyDescent="0.3">
      <c r="A135" s="13" t="s">
        <v>21</v>
      </c>
      <c r="B135" s="13" t="s">
        <v>22</v>
      </c>
      <c r="C135" s="13">
        <v>1197831</v>
      </c>
      <c r="D135" s="14">
        <v>44867</v>
      </c>
      <c r="E135" s="14">
        <v>44897</v>
      </c>
      <c r="F135" s="13" t="s">
        <v>23</v>
      </c>
      <c r="G135" s="13" t="s">
        <v>24</v>
      </c>
      <c r="H135" s="13" t="s">
        <v>16</v>
      </c>
      <c r="I135" s="15">
        <v>0.45</v>
      </c>
      <c r="J135" s="13">
        <v>9000</v>
      </c>
      <c r="K135" s="13">
        <v>30</v>
      </c>
      <c r="L135" s="15">
        <v>4050</v>
      </c>
    </row>
    <row r="136" spans="1:12" ht="14.4" x14ac:dyDescent="0.3">
      <c r="A136" s="13" t="s">
        <v>21</v>
      </c>
      <c r="B136" s="13" t="s">
        <v>22</v>
      </c>
      <c r="C136" s="13">
        <v>1197831</v>
      </c>
      <c r="D136" s="14">
        <v>44867</v>
      </c>
      <c r="E136" s="14">
        <v>44897</v>
      </c>
      <c r="F136" s="13" t="s">
        <v>23</v>
      </c>
      <c r="G136" s="13" t="s">
        <v>24</v>
      </c>
      <c r="H136" s="13" t="s">
        <v>17</v>
      </c>
      <c r="I136" s="15">
        <v>0.5</v>
      </c>
      <c r="J136" s="13">
        <v>8250</v>
      </c>
      <c r="K136" s="13">
        <v>30</v>
      </c>
      <c r="L136" s="15">
        <v>4125</v>
      </c>
    </row>
    <row r="137" spans="1:12" ht="14.4" x14ac:dyDescent="0.3">
      <c r="A137" s="13" t="s">
        <v>21</v>
      </c>
      <c r="B137" s="13" t="s">
        <v>22</v>
      </c>
      <c r="C137" s="13">
        <v>1197831</v>
      </c>
      <c r="D137" s="14">
        <v>44867</v>
      </c>
      <c r="E137" s="14">
        <v>44897</v>
      </c>
      <c r="F137" s="13" t="s">
        <v>23</v>
      </c>
      <c r="G137" s="13" t="s">
        <v>24</v>
      </c>
      <c r="H137" s="13" t="s">
        <v>18</v>
      </c>
      <c r="I137" s="15">
        <v>0.5</v>
      </c>
      <c r="J137" s="13">
        <v>6750</v>
      </c>
      <c r="K137" s="13">
        <v>30</v>
      </c>
      <c r="L137" s="15">
        <v>3375</v>
      </c>
    </row>
    <row r="138" spans="1:12" ht="14.4" x14ac:dyDescent="0.3">
      <c r="A138" s="13" t="s">
        <v>21</v>
      </c>
      <c r="B138" s="13" t="s">
        <v>22</v>
      </c>
      <c r="C138" s="13">
        <v>1197831</v>
      </c>
      <c r="D138" s="14">
        <v>44867</v>
      </c>
      <c r="E138" s="14">
        <v>44897</v>
      </c>
      <c r="F138" s="13" t="s">
        <v>23</v>
      </c>
      <c r="G138" s="13" t="s">
        <v>24</v>
      </c>
      <c r="H138" s="13" t="s">
        <v>19</v>
      </c>
      <c r="I138" s="15">
        <v>0.45</v>
      </c>
      <c r="J138" s="13">
        <v>6500</v>
      </c>
      <c r="K138" s="13">
        <v>30</v>
      </c>
      <c r="L138" s="15">
        <v>2925</v>
      </c>
    </row>
    <row r="139" spans="1:12" ht="14.4" x14ac:dyDescent="0.3">
      <c r="A139" s="13" t="s">
        <v>21</v>
      </c>
      <c r="B139" s="13" t="s">
        <v>22</v>
      </c>
      <c r="C139" s="13">
        <v>1197831</v>
      </c>
      <c r="D139" s="14">
        <v>44867</v>
      </c>
      <c r="E139" s="14">
        <v>44897</v>
      </c>
      <c r="F139" s="13" t="s">
        <v>23</v>
      </c>
      <c r="G139" s="13" t="s">
        <v>24</v>
      </c>
      <c r="H139" s="13" t="s">
        <v>20</v>
      </c>
      <c r="I139" s="15">
        <v>0.55000000000000004</v>
      </c>
      <c r="J139" s="13">
        <v>8500</v>
      </c>
      <c r="K139" s="13">
        <v>30</v>
      </c>
      <c r="L139" s="15">
        <v>4675</v>
      </c>
    </row>
    <row r="140" spans="1:12" ht="14.4" x14ac:dyDescent="0.3">
      <c r="A140" s="13" t="s">
        <v>21</v>
      </c>
      <c r="B140" s="13" t="s">
        <v>22</v>
      </c>
      <c r="C140" s="13">
        <v>1197831</v>
      </c>
      <c r="D140" s="14">
        <v>44896</v>
      </c>
      <c r="E140" s="14">
        <v>44926</v>
      </c>
      <c r="F140" s="13" t="s">
        <v>23</v>
      </c>
      <c r="G140" s="13" t="s">
        <v>24</v>
      </c>
      <c r="H140" s="13" t="s">
        <v>15</v>
      </c>
      <c r="I140" s="15">
        <v>0.45</v>
      </c>
      <c r="J140" s="13">
        <v>9500</v>
      </c>
      <c r="K140" s="13">
        <v>30</v>
      </c>
      <c r="L140" s="15">
        <v>4275</v>
      </c>
    </row>
    <row r="141" spans="1:12" ht="14.4" x14ac:dyDescent="0.3">
      <c r="A141" s="13" t="s">
        <v>21</v>
      </c>
      <c r="B141" s="13" t="s">
        <v>22</v>
      </c>
      <c r="C141" s="13">
        <v>1197831</v>
      </c>
      <c r="D141" s="14">
        <v>44896</v>
      </c>
      <c r="E141" s="14">
        <v>44926</v>
      </c>
      <c r="F141" s="13" t="s">
        <v>23</v>
      </c>
      <c r="G141" s="13" t="s">
        <v>24</v>
      </c>
      <c r="H141" s="13" t="s">
        <v>16</v>
      </c>
      <c r="I141" s="15">
        <v>0.45</v>
      </c>
      <c r="J141" s="13">
        <v>9500</v>
      </c>
      <c r="K141" s="13">
        <v>30</v>
      </c>
      <c r="L141" s="15">
        <v>4275</v>
      </c>
    </row>
    <row r="142" spans="1:12" ht="14.4" x14ac:dyDescent="0.3">
      <c r="A142" s="13" t="s">
        <v>21</v>
      </c>
      <c r="B142" s="13" t="s">
        <v>22</v>
      </c>
      <c r="C142" s="13">
        <v>1197831</v>
      </c>
      <c r="D142" s="14">
        <v>44896</v>
      </c>
      <c r="E142" s="14">
        <v>44926</v>
      </c>
      <c r="F142" s="13" t="s">
        <v>23</v>
      </c>
      <c r="G142" s="13" t="s">
        <v>24</v>
      </c>
      <c r="H142" s="13" t="s">
        <v>17</v>
      </c>
      <c r="I142" s="15">
        <v>0.5</v>
      </c>
      <c r="J142" s="13">
        <v>8500</v>
      </c>
      <c r="K142" s="13">
        <v>30</v>
      </c>
      <c r="L142" s="15">
        <v>4250</v>
      </c>
    </row>
    <row r="143" spans="1:12" ht="14.4" x14ac:dyDescent="0.3">
      <c r="A143" s="13" t="s">
        <v>21</v>
      </c>
      <c r="B143" s="13" t="s">
        <v>22</v>
      </c>
      <c r="C143" s="13">
        <v>1197831</v>
      </c>
      <c r="D143" s="14">
        <v>44896</v>
      </c>
      <c r="E143" s="14">
        <v>44926</v>
      </c>
      <c r="F143" s="13" t="s">
        <v>23</v>
      </c>
      <c r="G143" s="13" t="s">
        <v>24</v>
      </c>
      <c r="H143" s="13" t="s">
        <v>18</v>
      </c>
      <c r="I143" s="15">
        <v>0.5</v>
      </c>
      <c r="J143" s="13">
        <v>7000</v>
      </c>
      <c r="K143" s="13">
        <v>30</v>
      </c>
      <c r="L143" s="15">
        <v>3500</v>
      </c>
    </row>
    <row r="144" spans="1:12" ht="14.4" x14ac:dyDescent="0.3">
      <c r="A144" s="13" t="s">
        <v>21</v>
      </c>
      <c r="B144" s="13" t="s">
        <v>22</v>
      </c>
      <c r="C144" s="13">
        <v>1197831</v>
      </c>
      <c r="D144" s="14">
        <v>44896</v>
      </c>
      <c r="E144" s="14">
        <v>44926</v>
      </c>
      <c r="F144" s="13" t="s">
        <v>23</v>
      </c>
      <c r="G144" s="13" t="s">
        <v>24</v>
      </c>
      <c r="H144" s="13" t="s">
        <v>19</v>
      </c>
      <c r="I144" s="15">
        <v>0.45</v>
      </c>
      <c r="J144" s="13">
        <v>6500</v>
      </c>
      <c r="K144" s="13">
        <v>30</v>
      </c>
      <c r="L144" s="15">
        <v>2925</v>
      </c>
    </row>
    <row r="145" spans="1:12" ht="14.4" x14ac:dyDescent="0.3">
      <c r="A145" s="13" t="s">
        <v>21</v>
      </c>
      <c r="B145" s="13" t="s">
        <v>22</v>
      </c>
      <c r="C145" s="13">
        <v>1197831</v>
      </c>
      <c r="D145" s="14">
        <v>44896</v>
      </c>
      <c r="E145" s="14">
        <v>44926</v>
      </c>
      <c r="F145" s="13" t="s">
        <v>23</v>
      </c>
      <c r="G145" s="13" t="s">
        <v>24</v>
      </c>
      <c r="H145" s="13" t="s">
        <v>20</v>
      </c>
      <c r="I145" s="15">
        <v>0.55000000000000004</v>
      </c>
      <c r="J145" s="13">
        <v>9000</v>
      </c>
      <c r="K145" s="13">
        <v>30</v>
      </c>
      <c r="L145" s="15">
        <v>4950</v>
      </c>
    </row>
    <row r="146" spans="1:12" ht="14.4" x14ac:dyDescent="0.3">
      <c r="A146" s="13" t="s">
        <v>25</v>
      </c>
      <c r="B146" s="13" t="s">
        <v>26</v>
      </c>
      <c r="C146" s="13">
        <v>1189833</v>
      </c>
      <c r="D146" s="14">
        <v>44576</v>
      </c>
      <c r="E146" s="14">
        <v>44611</v>
      </c>
      <c r="F146" s="13" t="s">
        <v>13</v>
      </c>
      <c r="G146" s="13" t="s">
        <v>14</v>
      </c>
      <c r="H146" s="13" t="s">
        <v>15</v>
      </c>
      <c r="I146" s="15">
        <v>0.35</v>
      </c>
      <c r="J146" s="13">
        <v>7000</v>
      </c>
      <c r="K146" s="13">
        <v>35</v>
      </c>
      <c r="L146" s="15">
        <v>2450</v>
      </c>
    </row>
    <row r="147" spans="1:12" ht="14.4" x14ac:dyDescent="0.3">
      <c r="A147" s="13" t="s">
        <v>25</v>
      </c>
      <c r="B147" s="13" t="s">
        <v>26</v>
      </c>
      <c r="C147" s="13">
        <v>1189833</v>
      </c>
      <c r="D147" s="14">
        <v>44576</v>
      </c>
      <c r="E147" s="14">
        <v>44606</v>
      </c>
      <c r="F147" s="13" t="s">
        <v>13</v>
      </c>
      <c r="G147" s="13" t="s">
        <v>14</v>
      </c>
      <c r="H147" s="13" t="s">
        <v>16</v>
      </c>
      <c r="I147" s="15">
        <v>0.45</v>
      </c>
      <c r="J147" s="13">
        <v>7000</v>
      </c>
      <c r="K147" s="13">
        <v>30</v>
      </c>
      <c r="L147" s="15">
        <v>3150</v>
      </c>
    </row>
    <row r="148" spans="1:12" ht="14.4" x14ac:dyDescent="0.3">
      <c r="A148" s="13" t="s">
        <v>25</v>
      </c>
      <c r="B148" s="13" t="s">
        <v>26</v>
      </c>
      <c r="C148" s="13">
        <v>1189833</v>
      </c>
      <c r="D148" s="14">
        <v>44576</v>
      </c>
      <c r="E148" s="14">
        <v>44606</v>
      </c>
      <c r="F148" s="13" t="s">
        <v>13</v>
      </c>
      <c r="G148" s="13" t="s">
        <v>14</v>
      </c>
      <c r="H148" s="13" t="s">
        <v>17</v>
      </c>
      <c r="I148" s="15">
        <v>0.45</v>
      </c>
      <c r="J148" s="13">
        <v>7000</v>
      </c>
      <c r="K148" s="13">
        <v>30</v>
      </c>
      <c r="L148" s="15">
        <v>3150</v>
      </c>
    </row>
    <row r="149" spans="1:12" ht="14.4" x14ac:dyDescent="0.3">
      <c r="A149" s="13" t="s">
        <v>25</v>
      </c>
      <c r="B149" s="13" t="s">
        <v>26</v>
      </c>
      <c r="C149" s="13">
        <v>1189833</v>
      </c>
      <c r="D149" s="14">
        <v>44576</v>
      </c>
      <c r="E149" s="14">
        <v>44606</v>
      </c>
      <c r="F149" s="13" t="s">
        <v>13</v>
      </c>
      <c r="G149" s="13" t="s">
        <v>14</v>
      </c>
      <c r="H149" s="13" t="s">
        <v>18</v>
      </c>
      <c r="I149" s="15">
        <v>0.45</v>
      </c>
      <c r="J149" s="13">
        <v>5500</v>
      </c>
      <c r="K149" s="13">
        <v>30</v>
      </c>
      <c r="L149" s="15">
        <v>2475</v>
      </c>
    </row>
    <row r="150" spans="1:12" ht="14.4" x14ac:dyDescent="0.3">
      <c r="A150" s="13" t="s">
        <v>25</v>
      </c>
      <c r="B150" s="13" t="s">
        <v>26</v>
      </c>
      <c r="C150" s="13">
        <v>1189833</v>
      </c>
      <c r="D150" s="14">
        <v>44576</v>
      </c>
      <c r="E150" s="14">
        <v>44606</v>
      </c>
      <c r="F150" s="13" t="s">
        <v>13</v>
      </c>
      <c r="G150" s="13" t="s">
        <v>14</v>
      </c>
      <c r="H150" s="13" t="s">
        <v>19</v>
      </c>
      <c r="I150" s="15">
        <v>0.5</v>
      </c>
      <c r="J150" s="13">
        <v>5000</v>
      </c>
      <c r="K150" s="13">
        <v>30</v>
      </c>
      <c r="L150" s="15">
        <v>2500</v>
      </c>
    </row>
    <row r="151" spans="1:12" ht="14.4" x14ac:dyDescent="0.3">
      <c r="A151" s="13" t="s">
        <v>25</v>
      </c>
      <c r="B151" s="13" t="s">
        <v>26</v>
      </c>
      <c r="C151" s="13">
        <v>1189833</v>
      </c>
      <c r="D151" s="14">
        <v>44576</v>
      </c>
      <c r="E151" s="14">
        <v>44606</v>
      </c>
      <c r="F151" s="13" t="s">
        <v>13</v>
      </c>
      <c r="G151" s="13" t="s">
        <v>14</v>
      </c>
      <c r="H151" s="13" t="s">
        <v>20</v>
      </c>
      <c r="I151" s="15">
        <v>0.45</v>
      </c>
      <c r="J151" s="13">
        <v>7000</v>
      </c>
      <c r="K151" s="13">
        <v>30</v>
      </c>
      <c r="L151" s="15">
        <v>3150</v>
      </c>
    </row>
    <row r="152" spans="1:12" ht="14.4" x14ac:dyDescent="0.3">
      <c r="A152" s="13" t="s">
        <v>25</v>
      </c>
      <c r="B152" s="13" t="s">
        <v>26</v>
      </c>
      <c r="C152" s="13">
        <v>1189833</v>
      </c>
      <c r="D152" s="14">
        <v>44607</v>
      </c>
      <c r="E152" s="14">
        <v>44637</v>
      </c>
      <c r="F152" s="13" t="s">
        <v>13</v>
      </c>
      <c r="G152" s="13" t="s">
        <v>14</v>
      </c>
      <c r="H152" s="13" t="s">
        <v>15</v>
      </c>
      <c r="I152" s="15">
        <v>0.35</v>
      </c>
      <c r="J152" s="13">
        <v>7500</v>
      </c>
      <c r="K152" s="13">
        <v>30</v>
      </c>
      <c r="L152" s="15">
        <v>2625</v>
      </c>
    </row>
    <row r="153" spans="1:12" ht="14.4" x14ac:dyDescent="0.3">
      <c r="A153" s="13" t="s">
        <v>25</v>
      </c>
      <c r="B153" s="13" t="s">
        <v>26</v>
      </c>
      <c r="C153" s="13">
        <v>1189833</v>
      </c>
      <c r="D153" s="14">
        <v>44607</v>
      </c>
      <c r="E153" s="14">
        <v>44637</v>
      </c>
      <c r="F153" s="13" t="s">
        <v>13</v>
      </c>
      <c r="G153" s="13" t="s">
        <v>14</v>
      </c>
      <c r="H153" s="13" t="s">
        <v>16</v>
      </c>
      <c r="I153" s="15">
        <v>0.45</v>
      </c>
      <c r="J153" s="13">
        <v>6500</v>
      </c>
      <c r="K153" s="13">
        <v>30</v>
      </c>
      <c r="L153" s="15">
        <v>2925</v>
      </c>
    </row>
    <row r="154" spans="1:12" ht="14.4" x14ac:dyDescent="0.3">
      <c r="A154" s="13" t="s">
        <v>25</v>
      </c>
      <c r="B154" s="13" t="s">
        <v>26</v>
      </c>
      <c r="C154" s="13">
        <v>1189833</v>
      </c>
      <c r="D154" s="14">
        <v>44607</v>
      </c>
      <c r="E154" s="14">
        <v>44637</v>
      </c>
      <c r="F154" s="13" t="s">
        <v>13</v>
      </c>
      <c r="G154" s="13" t="s">
        <v>14</v>
      </c>
      <c r="H154" s="13" t="s">
        <v>17</v>
      </c>
      <c r="I154" s="15">
        <v>0.45</v>
      </c>
      <c r="J154" s="13">
        <v>6750</v>
      </c>
      <c r="K154" s="13">
        <v>30</v>
      </c>
      <c r="L154" s="15">
        <v>3037.5</v>
      </c>
    </row>
    <row r="155" spans="1:12" ht="14.4" x14ac:dyDescent="0.3">
      <c r="A155" s="13" t="s">
        <v>25</v>
      </c>
      <c r="B155" s="13" t="s">
        <v>26</v>
      </c>
      <c r="C155" s="13">
        <v>1189833</v>
      </c>
      <c r="D155" s="14">
        <v>44607</v>
      </c>
      <c r="E155" s="14">
        <v>44637</v>
      </c>
      <c r="F155" s="13" t="s">
        <v>13</v>
      </c>
      <c r="G155" s="13" t="s">
        <v>14</v>
      </c>
      <c r="H155" s="13" t="s">
        <v>18</v>
      </c>
      <c r="I155" s="15">
        <v>0.45</v>
      </c>
      <c r="J155" s="13">
        <v>5250</v>
      </c>
      <c r="K155" s="13">
        <v>30</v>
      </c>
      <c r="L155" s="15">
        <v>2362.5</v>
      </c>
    </row>
    <row r="156" spans="1:12" ht="14.4" x14ac:dyDescent="0.3">
      <c r="A156" s="13" t="s">
        <v>25</v>
      </c>
      <c r="B156" s="13" t="s">
        <v>26</v>
      </c>
      <c r="C156" s="13">
        <v>1189833</v>
      </c>
      <c r="D156" s="14">
        <v>44607</v>
      </c>
      <c r="E156" s="14">
        <v>44642</v>
      </c>
      <c r="F156" s="13" t="s">
        <v>13</v>
      </c>
      <c r="G156" s="13" t="s">
        <v>14</v>
      </c>
      <c r="H156" s="13" t="s">
        <v>19</v>
      </c>
      <c r="I156" s="15">
        <v>0.5</v>
      </c>
      <c r="J156" s="13">
        <v>4500</v>
      </c>
      <c r="K156" s="13">
        <v>35</v>
      </c>
      <c r="L156" s="15">
        <v>2250</v>
      </c>
    </row>
    <row r="157" spans="1:12" ht="14.4" x14ac:dyDescent="0.3">
      <c r="A157" s="13" t="s">
        <v>25</v>
      </c>
      <c r="B157" s="13" t="s">
        <v>26</v>
      </c>
      <c r="C157" s="13">
        <v>1189833</v>
      </c>
      <c r="D157" s="14">
        <v>44607</v>
      </c>
      <c r="E157" s="14">
        <v>44645</v>
      </c>
      <c r="F157" s="13" t="s">
        <v>13</v>
      </c>
      <c r="G157" s="13" t="s">
        <v>14</v>
      </c>
      <c r="H157" s="13" t="s">
        <v>20</v>
      </c>
      <c r="I157" s="15">
        <v>0.45</v>
      </c>
      <c r="J157" s="13">
        <v>6500</v>
      </c>
      <c r="K157" s="13">
        <v>38</v>
      </c>
      <c r="L157" s="15">
        <v>2925</v>
      </c>
    </row>
    <row r="158" spans="1:12" ht="14.4" x14ac:dyDescent="0.3">
      <c r="A158" s="13" t="s">
        <v>25</v>
      </c>
      <c r="B158" s="13" t="s">
        <v>26</v>
      </c>
      <c r="C158" s="13">
        <v>1189833</v>
      </c>
      <c r="D158" s="14">
        <v>44634</v>
      </c>
      <c r="E158" s="14">
        <v>44664</v>
      </c>
      <c r="F158" s="13" t="s">
        <v>13</v>
      </c>
      <c r="G158" s="13" t="s">
        <v>14</v>
      </c>
      <c r="H158" s="13" t="s">
        <v>15</v>
      </c>
      <c r="I158" s="15">
        <v>0.35</v>
      </c>
      <c r="J158" s="13">
        <v>8000</v>
      </c>
      <c r="K158" s="13">
        <v>30</v>
      </c>
      <c r="L158" s="15">
        <v>2800</v>
      </c>
    </row>
    <row r="159" spans="1:12" ht="14.4" x14ac:dyDescent="0.3">
      <c r="A159" s="13" t="s">
        <v>25</v>
      </c>
      <c r="B159" s="13" t="s">
        <v>26</v>
      </c>
      <c r="C159" s="13">
        <v>1189833</v>
      </c>
      <c r="D159" s="14">
        <v>44634</v>
      </c>
      <c r="E159" s="14">
        <v>44664</v>
      </c>
      <c r="F159" s="13" t="s">
        <v>13</v>
      </c>
      <c r="G159" s="13" t="s">
        <v>14</v>
      </c>
      <c r="H159" s="13" t="s">
        <v>16</v>
      </c>
      <c r="I159" s="15">
        <v>0.45</v>
      </c>
      <c r="J159" s="13">
        <v>6500</v>
      </c>
      <c r="K159" s="13">
        <v>30</v>
      </c>
      <c r="L159" s="15">
        <v>2925</v>
      </c>
    </row>
    <row r="160" spans="1:12" ht="14.4" x14ac:dyDescent="0.3">
      <c r="A160" s="13" t="s">
        <v>25</v>
      </c>
      <c r="B160" s="13" t="s">
        <v>26</v>
      </c>
      <c r="C160" s="13">
        <v>1189833</v>
      </c>
      <c r="D160" s="14">
        <v>44634</v>
      </c>
      <c r="E160" s="14">
        <v>44664</v>
      </c>
      <c r="F160" s="13" t="s">
        <v>13</v>
      </c>
      <c r="G160" s="13" t="s">
        <v>14</v>
      </c>
      <c r="H160" s="13" t="s">
        <v>17</v>
      </c>
      <c r="I160" s="15">
        <v>0.45</v>
      </c>
      <c r="J160" s="13">
        <v>6500</v>
      </c>
      <c r="K160" s="13">
        <v>30</v>
      </c>
      <c r="L160" s="15">
        <v>2925</v>
      </c>
    </row>
    <row r="161" spans="1:12" ht="14.4" x14ac:dyDescent="0.3">
      <c r="A161" s="13" t="s">
        <v>25</v>
      </c>
      <c r="B161" s="13" t="s">
        <v>26</v>
      </c>
      <c r="C161" s="13">
        <v>1189833</v>
      </c>
      <c r="D161" s="14">
        <v>44634</v>
      </c>
      <c r="E161" s="14">
        <v>44664</v>
      </c>
      <c r="F161" s="13" t="s">
        <v>13</v>
      </c>
      <c r="G161" s="13" t="s">
        <v>14</v>
      </c>
      <c r="H161" s="13" t="s">
        <v>18</v>
      </c>
      <c r="I161" s="15">
        <v>0.45</v>
      </c>
      <c r="J161" s="13">
        <v>5500</v>
      </c>
      <c r="K161" s="13">
        <v>30</v>
      </c>
      <c r="L161" s="15">
        <v>2475</v>
      </c>
    </row>
    <row r="162" spans="1:12" ht="14.4" x14ac:dyDescent="0.3">
      <c r="A162" s="13" t="s">
        <v>25</v>
      </c>
      <c r="B162" s="13" t="s">
        <v>26</v>
      </c>
      <c r="C162" s="13">
        <v>1189833</v>
      </c>
      <c r="D162" s="14">
        <v>44634</v>
      </c>
      <c r="E162" s="14">
        <v>44664</v>
      </c>
      <c r="F162" s="13" t="s">
        <v>13</v>
      </c>
      <c r="G162" s="13" t="s">
        <v>14</v>
      </c>
      <c r="H162" s="13" t="s">
        <v>19</v>
      </c>
      <c r="I162" s="15">
        <v>0.5</v>
      </c>
      <c r="J162" s="13">
        <v>4250</v>
      </c>
      <c r="K162" s="13">
        <v>30</v>
      </c>
      <c r="L162" s="15">
        <v>2125</v>
      </c>
    </row>
    <row r="163" spans="1:12" ht="14.4" x14ac:dyDescent="0.3">
      <c r="A163" s="13" t="s">
        <v>25</v>
      </c>
      <c r="B163" s="13" t="s">
        <v>26</v>
      </c>
      <c r="C163" s="13">
        <v>1189833</v>
      </c>
      <c r="D163" s="14">
        <v>44634</v>
      </c>
      <c r="E163" s="14">
        <v>44664</v>
      </c>
      <c r="F163" s="13" t="s">
        <v>13</v>
      </c>
      <c r="G163" s="13" t="s">
        <v>14</v>
      </c>
      <c r="H163" s="13" t="s">
        <v>20</v>
      </c>
      <c r="I163" s="15">
        <v>0.45</v>
      </c>
      <c r="J163" s="13">
        <v>6250</v>
      </c>
      <c r="K163" s="13">
        <v>30</v>
      </c>
      <c r="L163" s="15">
        <v>2812.5</v>
      </c>
    </row>
    <row r="164" spans="1:12" ht="14.4" x14ac:dyDescent="0.3">
      <c r="A164" s="13" t="s">
        <v>25</v>
      </c>
      <c r="B164" s="13" t="s">
        <v>26</v>
      </c>
      <c r="C164" s="13">
        <v>1189833</v>
      </c>
      <c r="D164" s="14">
        <v>44666</v>
      </c>
      <c r="E164" s="14">
        <v>44696</v>
      </c>
      <c r="F164" s="13" t="s">
        <v>13</v>
      </c>
      <c r="G164" s="13" t="s">
        <v>14</v>
      </c>
      <c r="H164" s="13" t="s">
        <v>15</v>
      </c>
      <c r="I164" s="15">
        <v>0.45</v>
      </c>
      <c r="J164" s="13">
        <v>8000</v>
      </c>
      <c r="K164" s="13">
        <v>30</v>
      </c>
      <c r="L164" s="15">
        <v>3600</v>
      </c>
    </row>
    <row r="165" spans="1:12" ht="14.4" x14ac:dyDescent="0.3">
      <c r="A165" s="13" t="s">
        <v>25</v>
      </c>
      <c r="B165" s="13" t="s">
        <v>26</v>
      </c>
      <c r="C165" s="13">
        <v>1189833</v>
      </c>
      <c r="D165" s="14">
        <v>44666</v>
      </c>
      <c r="E165" s="14">
        <v>44696</v>
      </c>
      <c r="F165" s="13" t="s">
        <v>13</v>
      </c>
      <c r="G165" s="13" t="s">
        <v>14</v>
      </c>
      <c r="H165" s="13" t="s">
        <v>16</v>
      </c>
      <c r="I165" s="15">
        <v>0.5</v>
      </c>
      <c r="J165" s="13">
        <v>6000</v>
      </c>
      <c r="K165" s="13">
        <v>30</v>
      </c>
      <c r="L165" s="15">
        <v>3000</v>
      </c>
    </row>
    <row r="166" spans="1:12" ht="14.4" x14ac:dyDescent="0.3">
      <c r="A166" s="13" t="s">
        <v>25</v>
      </c>
      <c r="B166" s="13" t="s">
        <v>26</v>
      </c>
      <c r="C166" s="13">
        <v>1189833</v>
      </c>
      <c r="D166" s="14">
        <v>44666</v>
      </c>
      <c r="E166" s="14">
        <v>44696</v>
      </c>
      <c r="F166" s="13" t="s">
        <v>13</v>
      </c>
      <c r="G166" s="13" t="s">
        <v>14</v>
      </c>
      <c r="H166" s="13" t="s">
        <v>17</v>
      </c>
      <c r="I166" s="15">
        <v>0.5</v>
      </c>
      <c r="J166" s="13">
        <v>6250</v>
      </c>
      <c r="K166" s="13">
        <v>30</v>
      </c>
      <c r="L166" s="15">
        <v>3125</v>
      </c>
    </row>
    <row r="167" spans="1:12" ht="14.4" x14ac:dyDescent="0.3">
      <c r="A167" s="13" t="s">
        <v>25</v>
      </c>
      <c r="B167" s="13" t="s">
        <v>26</v>
      </c>
      <c r="C167" s="13">
        <v>1189833</v>
      </c>
      <c r="D167" s="14">
        <v>44666</v>
      </c>
      <c r="E167" s="14">
        <v>44696</v>
      </c>
      <c r="F167" s="13" t="s">
        <v>13</v>
      </c>
      <c r="G167" s="13" t="s">
        <v>14</v>
      </c>
      <c r="H167" s="13" t="s">
        <v>18</v>
      </c>
      <c r="I167" s="15">
        <v>0.45</v>
      </c>
      <c r="J167" s="13">
        <v>5250</v>
      </c>
      <c r="K167" s="13">
        <v>30</v>
      </c>
      <c r="L167" s="15">
        <v>2362.5</v>
      </c>
    </row>
    <row r="168" spans="1:12" ht="14.4" x14ac:dyDescent="0.3">
      <c r="A168" s="13" t="s">
        <v>25</v>
      </c>
      <c r="B168" s="13" t="s">
        <v>26</v>
      </c>
      <c r="C168" s="13">
        <v>1189833</v>
      </c>
      <c r="D168" s="14">
        <v>44666</v>
      </c>
      <c r="E168" s="14">
        <v>44696</v>
      </c>
      <c r="F168" s="13" t="s">
        <v>13</v>
      </c>
      <c r="G168" s="13" t="s">
        <v>14</v>
      </c>
      <c r="H168" s="13" t="s">
        <v>19</v>
      </c>
      <c r="I168" s="15">
        <v>0.5</v>
      </c>
      <c r="J168" s="13">
        <v>4250</v>
      </c>
      <c r="K168" s="13">
        <v>30</v>
      </c>
      <c r="L168" s="15">
        <v>2125</v>
      </c>
    </row>
    <row r="169" spans="1:12" ht="14.4" x14ac:dyDescent="0.3">
      <c r="A169" s="13" t="s">
        <v>25</v>
      </c>
      <c r="B169" s="13" t="s">
        <v>26</v>
      </c>
      <c r="C169" s="13">
        <v>1189833</v>
      </c>
      <c r="D169" s="14">
        <v>44666</v>
      </c>
      <c r="E169" s="14">
        <v>44696</v>
      </c>
      <c r="F169" s="13" t="s">
        <v>13</v>
      </c>
      <c r="G169" s="13" t="s">
        <v>14</v>
      </c>
      <c r="H169" s="13" t="s">
        <v>20</v>
      </c>
      <c r="I169" s="15">
        <v>0.65</v>
      </c>
      <c r="J169" s="13">
        <v>6000</v>
      </c>
      <c r="K169" s="13">
        <v>30</v>
      </c>
      <c r="L169" s="15">
        <v>3900</v>
      </c>
    </row>
    <row r="170" spans="1:12" ht="14.4" x14ac:dyDescent="0.3">
      <c r="A170" s="13" t="s">
        <v>25</v>
      </c>
      <c r="B170" s="13" t="s">
        <v>26</v>
      </c>
      <c r="C170" s="13">
        <v>1189833</v>
      </c>
      <c r="D170" s="14">
        <v>44697</v>
      </c>
      <c r="E170" s="14">
        <v>44727</v>
      </c>
      <c r="F170" s="13" t="s">
        <v>13</v>
      </c>
      <c r="G170" s="13" t="s">
        <v>14</v>
      </c>
      <c r="H170" s="13" t="s">
        <v>15</v>
      </c>
      <c r="I170" s="15">
        <v>0.45</v>
      </c>
      <c r="J170" s="13">
        <v>8000</v>
      </c>
      <c r="K170" s="13">
        <v>30</v>
      </c>
      <c r="L170" s="15">
        <v>3600</v>
      </c>
    </row>
    <row r="171" spans="1:12" ht="14.4" x14ac:dyDescent="0.3">
      <c r="A171" s="13" t="s">
        <v>25</v>
      </c>
      <c r="B171" s="13" t="s">
        <v>26</v>
      </c>
      <c r="C171" s="13">
        <v>1189833</v>
      </c>
      <c r="D171" s="14">
        <v>44697</v>
      </c>
      <c r="E171" s="14">
        <v>44727</v>
      </c>
      <c r="F171" s="13" t="s">
        <v>13</v>
      </c>
      <c r="G171" s="13" t="s">
        <v>14</v>
      </c>
      <c r="H171" s="13" t="s">
        <v>16</v>
      </c>
      <c r="I171" s="15">
        <v>0.5</v>
      </c>
      <c r="J171" s="13">
        <v>6500</v>
      </c>
      <c r="K171" s="13">
        <v>30</v>
      </c>
      <c r="L171" s="15">
        <v>3250</v>
      </c>
    </row>
    <row r="172" spans="1:12" ht="14.4" x14ac:dyDescent="0.3">
      <c r="A172" s="13" t="s">
        <v>25</v>
      </c>
      <c r="B172" s="13" t="s">
        <v>26</v>
      </c>
      <c r="C172" s="13">
        <v>1189833</v>
      </c>
      <c r="D172" s="14">
        <v>44697</v>
      </c>
      <c r="E172" s="14">
        <v>44727</v>
      </c>
      <c r="F172" s="13" t="s">
        <v>13</v>
      </c>
      <c r="G172" s="13" t="s">
        <v>14</v>
      </c>
      <c r="H172" s="13" t="s">
        <v>17</v>
      </c>
      <c r="I172" s="15">
        <v>0.5</v>
      </c>
      <c r="J172" s="13">
        <v>6500</v>
      </c>
      <c r="K172" s="13">
        <v>30</v>
      </c>
      <c r="L172" s="15">
        <v>3250</v>
      </c>
    </row>
    <row r="173" spans="1:12" ht="14.4" x14ac:dyDescent="0.3">
      <c r="A173" s="13" t="s">
        <v>25</v>
      </c>
      <c r="B173" s="13" t="s">
        <v>26</v>
      </c>
      <c r="C173" s="13">
        <v>1189833</v>
      </c>
      <c r="D173" s="14">
        <v>44697</v>
      </c>
      <c r="E173" s="14">
        <v>44727</v>
      </c>
      <c r="F173" s="13" t="s">
        <v>13</v>
      </c>
      <c r="G173" s="13" t="s">
        <v>14</v>
      </c>
      <c r="H173" s="13" t="s">
        <v>18</v>
      </c>
      <c r="I173" s="15">
        <v>0.45</v>
      </c>
      <c r="J173" s="13">
        <v>5500</v>
      </c>
      <c r="K173" s="13">
        <v>30</v>
      </c>
      <c r="L173" s="15">
        <v>2475</v>
      </c>
    </row>
    <row r="174" spans="1:12" ht="14.4" x14ac:dyDescent="0.3">
      <c r="A174" s="13" t="s">
        <v>25</v>
      </c>
      <c r="B174" s="13" t="s">
        <v>26</v>
      </c>
      <c r="C174" s="13">
        <v>1189833</v>
      </c>
      <c r="D174" s="14">
        <v>44697</v>
      </c>
      <c r="E174" s="14">
        <v>44727</v>
      </c>
      <c r="F174" s="13" t="s">
        <v>13</v>
      </c>
      <c r="G174" s="13" t="s">
        <v>14</v>
      </c>
      <c r="H174" s="13" t="s">
        <v>19</v>
      </c>
      <c r="I174" s="15">
        <v>0.5</v>
      </c>
      <c r="J174" s="13">
        <v>4500</v>
      </c>
      <c r="K174" s="13">
        <v>30</v>
      </c>
      <c r="L174" s="15">
        <v>2250</v>
      </c>
    </row>
    <row r="175" spans="1:12" ht="14.4" x14ac:dyDescent="0.3">
      <c r="A175" s="13" t="s">
        <v>25</v>
      </c>
      <c r="B175" s="13" t="s">
        <v>26</v>
      </c>
      <c r="C175" s="13">
        <v>1189833</v>
      </c>
      <c r="D175" s="14">
        <v>44697</v>
      </c>
      <c r="E175" s="14">
        <v>44727</v>
      </c>
      <c r="F175" s="13" t="s">
        <v>13</v>
      </c>
      <c r="G175" s="13" t="s">
        <v>14</v>
      </c>
      <c r="H175" s="13" t="s">
        <v>20</v>
      </c>
      <c r="I175" s="15">
        <v>0.65</v>
      </c>
      <c r="J175" s="13">
        <v>6250</v>
      </c>
      <c r="K175" s="13">
        <v>30</v>
      </c>
      <c r="L175" s="15">
        <v>4062.5</v>
      </c>
    </row>
    <row r="176" spans="1:12" ht="14.4" x14ac:dyDescent="0.3">
      <c r="A176" s="13" t="s">
        <v>25</v>
      </c>
      <c r="B176" s="13" t="s">
        <v>26</v>
      </c>
      <c r="C176" s="13">
        <v>1189833</v>
      </c>
      <c r="D176" s="14">
        <v>44727</v>
      </c>
      <c r="E176" s="14">
        <v>44757</v>
      </c>
      <c r="F176" s="13" t="s">
        <v>13</v>
      </c>
      <c r="G176" s="13" t="s">
        <v>14</v>
      </c>
      <c r="H176" s="13" t="s">
        <v>15</v>
      </c>
      <c r="I176" s="15">
        <v>0.45</v>
      </c>
      <c r="J176" s="13">
        <v>9000</v>
      </c>
      <c r="K176" s="13">
        <v>30</v>
      </c>
      <c r="L176" s="15">
        <v>4050</v>
      </c>
    </row>
    <row r="177" spans="1:12" ht="14.4" x14ac:dyDescent="0.3">
      <c r="A177" s="13" t="s">
        <v>25</v>
      </c>
      <c r="B177" s="13" t="s">
        <v>26</v>
      </c>
      <c r="C177" s="13">
        <v>1189833</v>
      </c>
      <c r="D177" s="14">
        <v>44727</v>
      </c>
      <c r="E177" s="14">
        <v>44757</v>
      </c>
      <c r="F177" s="13" t="s">
        <v>13</v>
      </c>
      <c r="G177" s="13" t="s">
        <v>14</v>
      </c>
      <c r="H177" s="13" t="s">
        <v>16</v>
      </c>
      <c r="I177" s="15">
        <v>0.5</v>
      </c>
      <c r="J177" s="13">
        <v>7500</v>
      </c>
      <c r="K177" s="13">
        <v>30</v>
      </c>
      <c r="L177" s="15">
        <v>3750</v>
      </c>
    </row>
    <row r="178" spans="1:12" ht="14.4" x14ac:dyDescent="0.3">
      <c r="A178" s="13" t="s">
        <v>25</v>
      </c>
      <c r="B178" s="13" t="s">
        <v>26</v>
      </c>
      <c r="C178" s="13">
        <v>1189833</v>
      </c>
      <c r="D178" s="14">
        <v>44727</v>
      </c>
      <c r="E178" s="14">
        <v>44757</v>
      </c>
      <c r="F178" s="13" t="s">
        <v>13</v>
      </c>
      <c r="G178" s="13" t="s">
        <v>14</v>
      </c>
      <c r="H178" s="13" t="s">
        <v>17</v>
      </c>
      <c r="I178" s="15">
        <v>0.5</v>
      </c>
      <c r="J178" s="13">
        <v>7500</v>
      </c>
      <c r="K178" s="13">
        <v>30</v>
      </c>
      <c r="L178" s="15">
        <v>3750</v>
      </c>
    </row>
    <row r="179" spans="1:12" ht="14.4" x14ac:dyDescent="0.3">
      <c r="A179" s="13" t="s">
        <v>25</v>
      </c>
      <c r="B179" s="13" t="s">
        <v>26</v>
      </c>
      <c r="C179" s="13">
        <v>1189833</v>
      </c>
      <c r="D179" s="14">
        <v>44727</v>
      </c>
      <c r="E179" s="14">
        <v>44757</v>
      </c>
      <c r="F179" s="13" t="s">
        <v>13</v>
      </c>
      <c r="G179" s="13" t="s">
        <v>14</v>
      </c>
      <c r="H179" s="13" t="s">
        <v>18</v>
      </c>
      <c r="I179" s="15">
        <v>0.45</v>
      </c>
      <c r="J179" s="13">
        <v>6250</v>
      </c>
      <c r="K179" s="13">
        <v>30</v>
      </c>
      <c r="L179" s="15">
        <v>2812.5</v>
      </c>
    </row>
    <row r="180" spans="1:12" ht="14.4" x14ac:dyDescent="0.3">
      <c r="A180" s="13" t="s">
        <v>25</v>
      </c>
      <c r="B180" s="13" t="s">
        <v>26</v>
      </c>
      <c r="C180" s="13">
        <v>1189833</v>
      </c>
      <c r="D180" s="14">
        <v>44727</v>
      </c>
      <c r="E180" s="14">
        <v>44757</v>
      </c>
      <c r="F180" s="13" t="s">
        <v>13</v>
      </c>
      <c r="G180" s="13" t="s">
        <v>14</v>
      </c>
      <c r="H180" s="13" t="s">
        <v>19</v>
      </c>
      <c r="I180" s="15">
        <v>0.5</v>
      </c>
      <c r="J180" s="13">
        <v>5000</v>
      </c>
      <c r="K180" s="13">
        <v>30</v>
      </c>
      <c r="L180" s="15">
        <v>2500</v>
      </c>
    </row>
    <row r="181" spans="1:12" ht="14.4" x14ac:dyDescent="0.3">
      <c r="A181" s="13" t="s">
        <v>25</v>
      </c>
      <c r="B181" s="13" t="s">
        <v>26</v>
      </c>
      <c r="C181" s="13">
        <v>1189833</v>
      </c>
      <c r="D181" s="14">
        <v>44727</v>
      </c>
      <c r="E181" s="14">
        <v>44757</v>
      </c>
      <c r="F181" s="13" t="s">
        <v>13</v>
      </c>
      <c r="G181" s="13" t="s">
        <v>14</v>
      </c>
      <c r="H181" s="13" t="s">
        <v>20</v>
      </c>
      <c r="I181" s="15">
        <v>0.65</v>
      </c>
      <c r="J181" s="13">
        <v>8000</v>
      </c>
      <c r="K181" s="13">
        <v>30</v>
      </c>
      <c r="L181" s="15">
        <v>5200</v>
      </c>
    </row>
    <row r="182" spans="1:12" ht="14.4" x14ac:dyDescent="0.3">
      <c r="A182" s="13" t="s">
        <v>25</v>
      </c>
      <c r="B182" s="13" t="s">
        <v>26</v>
      </c>
      <c r="C182" s="13">
        <v>1189833</v>
      </c>
      <c r="D182" s="14">
        <v>44756</v>
      </c>
      <c r="E182" s="14">
        <v>44786</v>
      </c>
      <c r="F182" s="13" t="s">
        <v>13</v>
      </c>
      <c r="G182" s="13" t="s">
        <v>14</v>
      </c>
      <c r="H182" s="13" t="s">
        <v>15</v>
      </c>
      <c r="I182" s="15">
        <v>0.45</v>
      </c>
      <c r="J182" s="13">
        <v>9500</v>
      </c>
      <c r="K182" s="13">
        <v>30</v>
      </c>
      <c r="L182" s="15">
        <v>4275</v>
      </c>
    </row>
    <row r="183" spans="1:12" ht="14.4" x14ac:dyDescent="0.3">
      <c r="A183" s="13" t="s">
        <v>25</v>
      </c>
      <c r="B183" s="13" t="s">
        <v>26</v>
      </c>
      <c r="C183" s="13">
        <v>1189833</v>
      </c>
      <c r="D183" s="14">
        <v>44756</v>
      </c>
      <c r="E183" s="14">
        <v>44786</v>
      </c>
      <c r="F183" s="13" t="s">
        <v>13</v>
      </c>
      <c r="G183" s="13" t="s">
        <v>14</v>
      </c>
      <c r="H183" s="13" t="s">
        <v>16</v>
      </c>
      <c r="I183" s="15">
        <v>0.5</v>
      </c>
      <c r="J183" s="13">
        <v>8000</v>
      </c>
      <c r="K183" s="13">
        <v>30</v>
      </c>
      <c r="L183" s="15">
        <v>4000</v>
      </c>
    </row>
    <row r="184" spans="1:12" ht="14.4" x14ac:dyDescent="0.3">
      <c r="A184" s="13" t="s">
        <v>25</v>
      </c>
      <c r="B184" s="13" t="s">
        <v>26</v>
      </c>
      <c r="C184" s="13">
        <v>1189833</v>
      </c>
      <c r="D184" s="14">
        <v>44756</v>
      </c>
      <c r="E184" s="14">
        <v>44786</v>
      </c>
      <c r="F184" s="13" t="s">
        <v>13</v>
      </c>
      <c r="G184" s="13" t="s">
        <v>14</v>
      </c>
      <c r="H184" s="13" t="s">
        <v>17</v>
      </c>
      <c r="I184" s="15">
        <v>0.5</v>
      </c>
      <c r="J184" s="13">
        <v>7500</v>
      </c>
      <c r="K184" s="13">
        <v>30</v>
      </c>
      <c r="L184" s="15">
        <v>3750</v>
      </c>
    </row>
    <row r="185" spans="1:12" ht="14.4" x14ac:dyDescent="0.3">
      <c r="A185" s="13" t="s">
        <v>25</v>
      </c>
      <c r="B185" s="13" t="s">
        <v>26</v>
      </c>
      <c r="C185" s="13">
        <v>1189833</v>
      </c>
      <c r="D185" s="14">
        <v>44756</v>
      </c>
      <c r="E185" s="14">
        <v>44786</v>
      </c>
      <c r="F185" s="13" t="s">
        <v>13</v>
      </c>
      <c r="G185" s="13" t="s">
        <v>14</v>
      </c>
      <c r="H185" s="13" t="s">
        <v>18</v>
      </c>
      <c r="I185" s="15">
        <v>0.45</v>
      </c>
      <c r="J185" s="13">
        <v>6500</v>
      </c>
      <c r="K185" s="13">
        <v>30</v>
      </c>
      <c r="L185" s="15">
        <v>2925</v>
      </c>
    </row>
    <row r="186" spans="1:12" ht="14.4" x14ac:dyDescent="0.3">
      <c r="A186" s="13" t="s">
        <v>25</v>
      </c>
      <c r="B186" s="13" t="s">
        <v>26</v>
      </c>
      <c r="C186" s="13">
        <v>1189833</v>
      </c>
      <c r="D186" s="14">
        <v>44756</v>
      </c>
      <c r="E186" s="14">
        <v>44786</v>
      </c>
      <c r="F186" s="13" t="s">
        <v>13</v>
      </c>
      <c r="G186" s="13" t="s">
        <v>14</v>
      </c>
      <c r="H186" s="13" t="s">
        <v>19</v>
      </c>
      <c r="I186" s="15">
        <v>0.5</v>
      </c>
      <c r="J186" s="13">
        <v>7000</v>
      </c>
      <c r="K186" s="13">
        <v>30</v>
      </c>
      <c r="L186" s="15">
        <v>3500</v>
      </c>
    </row>
    <row r="187" spans="1:12" ht="14.4" x14ac:dyDescent="0.3">
      <c r="A187" s="13" t="s">
        <v>25</v>
      </c>
      <c r="B187" s="13" t="s">
        <v>26</v>
      </c>
      <c r="C187" s="13">
        <v>1189833</v>
      </c>
      <c r="D187" s="14">
        <v>44756</v>
      </c>
      <c r="E187" s="14">
        <v>44786</v>
      </c>
      <c r="F187" s="13" t="s">
        <v>13</v>
      </c>
      <c r="G187" s="13" t="s">
        <v>14</v>
      </c>
      <c r="H187" s="13" t="s">
        <v>20</v>
      </c>
      <c r="I187" s="15">
        <v>0.65</v>
      </c>
      <c r="J187" s="13">
        <v>7000</v>
      </c>
      <c r="K187" s="13">
        <v>30</v>
      </c>
      <c r="L187" s="15">
        <v>4550</v>
      </c>
    </row>
    <row r="188" spans="1:12" ht="14.4" x14ac:dyDescent="0.3">
      <c r="A188" s="13" t="s">
        <v>25</v>
      </c>
      <c r="B188" s="13" t="s">
        <v>26</v>
      </c>
      <c r="C188" s="13">
        <v>1189833</v>
      </c>
      <c r="D188" s="14">
        <v>44788</v>
      </c>
      <c r="E188" s="14">
        <v>44818</v>
      </c>
      <c r="F188" s="13" t="s">
        <v>13</v>
      </c>
      <c r="G188" s="13" t="s">
        <v>14</v>
      </c>
      <c r="H188" s="13" t="s">
        <v>15</v>
      </c>
      <c r="I188" s="15">
        <v>0.5</v>
      </c>
      <c r="J188" s="13">
        <v>9000</v>
      </c>
      <c r="K188" s="13">
        <v>30</v>
      </c>
      <c r="L188" s="15">
        <v>4500</v>
      </c>
    </row>
    <row r="189" spans="1:12" ht="14.4" x14ac:dyDescent="0.3">
      <c r="A189" s="13" t="s">
        <v>25</v>
      </c>
      <c r="B189" s="13" t="s">
        <v>26</v>
      </c>
      <c r="C189" s="13">
        <v>1189833</v>
      </c>
      <c r="D189" s="14">
        <v>44788</v>
      </c>
      <c r="E189" s="14">
        <v>44818</v>
      </c>
      <c r="F189" s="13" t="s">
        <v>13</v>
      </c>
      <c r="G189" s="13" t="s">
        <v>14</v>
      </c>
      <c r="H189" s="13" t="s">
        <v>16</v>
      </c>
      <c r="I189" s="15">
        <v>0.55000000000000004</v>
      </c>
      <c r="J189" s="13">
        <v>8500</v>
      </c>
      <c r="K189" s="13">
        <v>30</v>
      </c>
      <c r="L189" s="15">
        <v>4675</v>
      </c>
    </row>
    <row r="190" spans="1:12" ht="14.4" x14ac:dyDescent="0.3">
      <c r="A190" s="13" t="s">
        <v>25</v>
      </c>
      <c r="B190" s="13" t="s">
        <v>26</v>
      </c>
      <c r="C190" s="13">
        <v>1189833</v>
      </c>
      <c r="D190" s="14">
        <v>44788</v>
      </c>
      <c r="E190" s="14">
        <v>44818</v>
      </c>
      <c r="F190" s="13" t="s">
        <v>13</v>
      </c>
      <c r="G190" s="13" t="s">
        <v>14</v>
      </c>
      <c r="H190" s="13" t="s">
        <v>17</v>
      </c>
      <c r="I190" s="15">
        <v>0.5</v>
      </c>
      <c r="J190" s="13">
        <v>7250</v>
      </c>
      <c r="K190" s="13">
        <v>30</v>
      </c>
      <c r="L190" s="15">
        <v>3625</v>
      </c>
    </row>
    <row r="191" spans="1:12" ht="14.4" x14ac:dyDescent="0.3">
      <c r="A191" s="13" t="s">
        <v>25</v>
      </c>
      <c r="B191" s="13" t="s">
        <v>26</v>
      </c>
      <c r="C191" s="13">
        <v>1189833</v>
      </c>
      <c r="D191" s="14">
        <v>44788</v>
      </c>
      <c r="E191" s="14">
        <v>44818</v>
      </c>
      <c r="F191" s="13" t="s">
        <v>13</v>
      </c>
      <c r="G191" s="13" t="s">
        <v>14</v>
      </c>
      <c r="H191" s="13" t="s">
        <v>18</v>
      </c>
      <c r="I191" s="15">
        <v>0.5</v>
      </c>
      <c r="J191" s="13">
        <v>6750</v>
      </c>
      <c r="K191" s="13">
        <v>30</v>
      </c>
      <c r="L191" s="15">
        <v>3375</v>
      </c>
    </row>
    <row r="192" spans="1:12" ht="14.4" x14ac:dyDescent="0.3">
      <c r="A192" s="13" t="s">
        <v>25</v>
      </c>
      <c r="B192" s="13" t="s">
        <v>26</v>
      </c>
      <c r="C192" s="13">
        <v>1189833</v>
      </c>
      <c r="D192" s="14">
        <v>44788</v>
      </c>
      <c r="E192" s="14">
        <v>44818</v>
      </c>
      <c r="F192" s="13" t="s">
        <v>13</v>
      </c>
      <c r="G192" s="13" t="s">
        <v>14</v>
      </c>
      <c r="H192" s="13" t="s">
        <v>19</v>
      </c>
      <c r="I192" s="15">
        <v>0.6</v>
      </c>
      <c r="J192" s="13">
        <v>6750</v>
      </c>
      <c r="K192" s="13">
        <v>30</v>
      </c>
      <c r="L192" s="15">
        <v>4050</v>
      </c>
    </row>
    <row r="193" spans="1:12" ht="14.4" x14ac:dyDescent="0.3">
      <c r="A193" s="13" t="s">
        <v>25</v>
      </c>
      <c r="B193" s="13" t="s">
        <v>26</v>
      </c>
      <c r="C193" s="13">
        <v>1189833</v>
      </c>
      <c r="D193" s="14">
        <v>44788</v>
      </c>
      <c r="E193" s="14">
        <v>44818</v>
      </c>
      <c r="F193" s="13" t="s">
        <v>13</v>
      </c>
      <c r="G193" s="13" t="s">
        <v>14</v>
      </c>
      <c r="H193" s="13" t="s">
        <v>20</v>
      </c>
      <c r="I193" s="15">
        <v>0.65</v>
      </c>
      <c r="J193" s="13">
        <v>6500</v>
      </c>
      <c r="K193" s="13">
        <v>30</v>
      </c>
      <c r="L193" s="15">
        <v>4225</v>
      </c>
    </row>
    <row r="194" spans="1:12" ht="14.4" x14ac:dyDescent="0.3">
      <c r="A194" s="13" t="s">
        <v>25</v>
      </c>
      <c r="B194" s="13" t="s">
        <v>26</v>
      </c>
      <c r="C194" s="13">
        <v>1189833</v>
      </c>
      <c r="D194" s="14">
        <v>44820</v>
      </c>
      <c r="E194" s="14">
        <v>44850</v>
      </c>
      <c r="F194" s="13" t="s">
        <v>13</v>
      </c>
      <c r="G194" s="13" t="s">
        <v>14</v>
      </c>
      <c r="H194" s="13" t="s">
        <v>15</v>
      </c>
      <c r="I194" s="15">
        <v>0.5</v>
      </c>
      <c r="J194" s="13">
        <v>8500</v>
      </c>
      <c r="K194" s="13">
        <v>30</v>
      </c>
      <c r="L194" s="15">
        <v>4250</v>
      </c>
    </row>
    <row r="195" spans="1:12" ht="14.4" x14ac:dyDescent="0.3">
      <c r="A195" s="13" t="s">
        <v>25</v>
      </c>
      <c r="B195" s="13" t="s">
        <v>26</v>
      </c>
      <c r="C195" s="13">
        <v>1189833</v>
      </c>
      <c r="D195" s="14">
        <v>44820</v>
      </c>
      <c r="E195" s="14">
        <v>44850</v>
      </c>
      <c r="F195" s="13" t="s">
        <v>13</v>
      </c>
      <c r="G195" s="13" t="s">
        <v>14</v>
      </c>
      <c r="H195" s="13" t="s">
        <v>16</v>
      </c>
      <c r="I195" s="15">
        <v>0.55000000000000004</v>
      </c>
      <c r="J195" s="13">
        <v>8500</v>
      </c>
      <c r="K195" s="13">
        <v>30</v>
      </c>
      <c r="L195" s="15">
        <v>4675</v>
      </c>
    </row>
    <row r="196" spans="1:12" ht="14.4" x14ac:dyDescent="0.3">
      <c r="A196" s="13" t="s">
        <v>25</v>
      </c>
      <c r="B196" s="13" t="s">
        <v>26</v>
      </c>
      <c r="C196" s="13">
        <v>1189833</v>
      </c>
      <c r="D196" s="14">
        <v>44820</v>
      </c>
      <c r="E196" s="14">
        <v>44850</v>
      </c>
      <c r="F196" s="13" t="s">
        <v>13</v>
      </c>
      <c r="G196" s="13" t="s">
        <v>14</v>
      </c>
      <c r="H196" s="13" t="s">
        <v>17</v>
      </c>
      <c r="I196" s="15">
        <v>0.5</v>
      </c>
      <c r="J196" s="13">
        <v>7000</v>
      </c>
      <c r="K196" s="13">
        <v>30</v>
      </c>
      <c r="L196" s="15">
        <v>3500</v>
      </c>
    </row>
    <row r="197" spans="1:12" ht="14.4" x14ac:dyDescent="0.3">
      <c r="A197" s="13" t="s">
        <v>25</v>
      </c>
      <c r="B197" s="13" t="s">
        <v>26</v>
      </c>
      <c r="C197" s="13">
        <v>1189833</v>
      </c>
      <c r="D197" s="14">
        <v>44820</v>
      </c>
      <c r="E197" s="14">
        <v>44850</v>
      </c>
      <c r="F197" s="13" t="s">
        <v>13</v>
      </c>
      <c r="G197" s="13" t="s">
        <v>14</v>
      </c>
      <c r="H197" s="13" t="s">
        <v>18</v>
      </c>
      <c r="I197" s="15">
        <v>0.5</v>
      </c>
      <c r="J197" s="13">
        <v>6500</v>
      </c>
      <c r="K197" s="13">
        <v>30</v>
      </c>
      <c r="L197" s="15">
        <v>3250</v>
      </c>
    </row>
    <row r="198" spans="1:12" ht="14.4" x14ac:dyDescent="0.3">
      <c r="A198" s="13" t="s">
        <v>25</v>
      </c>
      <c r="B198" s="13" t="s">
        <v>26</v>
      </c>
      <c r="C198" s="13">
        <v>1189833</v>
      </c>
      <c r="D198" s="14">
        <v>44820</v>
      </c>
      <c r="E198" s="14">
        <v>44850</v>
      </c>
      <c r="F198" s="13" t="s">
        <v>13</v>
      </c>
      <c r="G198" s="13" t="s">
        <v>14</v>
      </c>
      <c r="H198" s="13" t="s">
        <v>19</v>
      </c>
      <c r="I198" s="15">
        <v>0.6</v>
      </c>
      <c r="J198" s="13">
        <v>6500</v>
      </c>
      <c r="K198" s="13">
        <v>30</v>
      </c>
      <c r="L198" s="15">
        <v>3900</v>
      </c>
    </row>
    <row r="199" spans="1:12" ht="14.4" x14ac:dyDescent="0.3">
      <c r="A199" s="13" t="s">
        <v>25</v>
      </c>
      <c r="B199" s="13" t="s">
        <v>26</v>
      </c>
      <c r="C199" s="13">
        <v>1189833</v>
      </c>
      <c r="D199" s="14">
        <v>44820</v>
      </c>
      <c r="E199" s="14">
        <v>44850</v>
      </c>
      <c r="F199" s="13" t="s">
        <v>13</v>
      </c>
      <c r="G199" s="13" t="s">
        <v>14</v>
      </c>
      <c r="H199" s="13" t="s">
        <v>20</v>
      </c>
      <c r="I199" s="15">
        <v>0.65</v>
      </c>
      <c r="J199" s="13">
        <v>7000</v>
      </c>
      <c r="K199" s="13">
        <v>30</v>
      </c>
      <c r="L199" s="15">
        <v>4550</v>
      </c>
    </row>
    <row r="200" spans="1:12" ht="14.4" x14ac:dyDescent="0.3">
      <c r="A200" s="13" t="s">
        <v>25</v>
      </c>
      <c r="B200" s="13" t="s">
        <v>26</v>
      </c>
      <c r="C200" s="13">
        <v>1189833</v>
      </c>
      <c r="D200" s="14">
        <v>44849</v>
      </c>
      <c r="E200" s="14">
        <v>44879</v>
      </c>
      <c r="F200" s="13" t="s">
        <v>13</v>
      </c>
      <c r="G200" s="13" t="s">
        <v>14</v>
      </c>
      <c r="H200" s="13" t="s">
        <v>15</v>
      </c>
      <c r="I200" s="15">
        <v>0.5</v>
      </c>
      <c r="J200" s="13">
        <v>8000</v>
      </c>
      <c r="K200" s="13">
        <v>30</v>
      </c>
      <c r="L200" s="15">
        <v>4000</v>
      </c>
    </row>
    <row r="201" spans="1:12" ht="14.4" x14ac:dyDescent="0.3">
      <c r="A201" s="13" t="s">
        <v>25</v>
      </c>
      <c r="B201" s="13" t="s">
        <v>26</v>
      </c>
      <c r="C201" s="13">
        <v>1189833</v>
      </c>
      <c r="D201" s="14">
        <v>44849</v>
      </c>
      <c r="E201" s="14">
        <v>44879</v>
      </c>
      <c r="F201" s="13" t="s">
        <v>13</v>
      </c>
      <c r="G201" s="13" t="s">
        <v>14</v>
      </c>
      <c r="H201" s="13" t="s">
        <v>16</v>
      </c>
      <c r="I201" s="15">
        <v>0.55000000000000004</v>
      </c>
      <c r="J201" s="13">
        <v>8000</v>
      </c>
      <c r="K201" s="13">
        <v>30</v>
      </c>
      <c r="L201" s="15">
        <v>4400</v>
      </c>
    </row>
    <row r="202" spans="1:12" ht="14.4" x14ac:dyDescent="0.3">
      <c r="A202" s="13" t="s">
        <v>25</v>
      </c>
      <c r="B202" s="13" t="s">
        <v>26</v>
      </c>
      <c r="C202" s="13">
        <v>1189833</v>
      </c>
      <c r="D202" s="14">
        <v>44849</v>
      </c>
      <c r="E202" s="14">
        <v>44879</v>
      </c>
      <c r="F202" s="13" t="s">
        <v>13</v>
      </c>
      <c r="G202" s="13" t="s">
        <v>14</v>
      </c>
      <c r="H202" s="13" t="s">
        <v>17</v>
      </c>
      <c r="I202" s="15">
        <v>0.5</v>
      </c>
      <c r="J202" s="13">
        <v>6500</v>
      </c>
      <c r="K202" s="13">
        <v>30</v>
      </c>
      <c r="L202" s="15">
        <v>3250</v>
      </c>
    </row>
    <row r="203" spans="1:12" ht="14.4" x14ac:dyDescent="0.3">
      <c r="A203" s="13" t="s">
        <v>25</v>
      </c>
      <c r="B203" s="13" t="s">
        <v>26</v>
      </c>
      <c r="C203" s="13">
        <v>1189833</v>
      </c>
      <c r="D203" s="14">
        <v>44849</v>
      </c>
      <c r="E203" s="14">
        <v>44879</v>
      </c>
      <c r="F203" s="13" t="s">
        <v>13</v>
      </c>
      <c r="G203" s="13" t="s">
        <v>14</v>
      </c>
      <c r="H203" s="13" t="s">
        <v>18</v>
      </c>
      <c r="I203" s="15">
        <v>0.5</v>
      </c>
      <c r="J203" s="13">
        <v>6250</v>
      </c>
      <c r="K203" s="13">
        <v>30</v>
      </c>
      <c r="L203" s="15">
        <v>3125</v>
      </c>
    </row>
    <row r="204" spans="1:12" ht="14.4" x14ac:dyDescent="0.3">
      <c r="A204" s="13" t="s">
        <v>25</v>
      </c>
      <c r="B204" s="13" t="s">
        <v>26</v>
      </c>
      <c r="C204" s="13">
        <v>1189833</v>
      </c>
      <c r="D204" s="14">
        <v>44849</v>
      </c>
      <c r="E204" s="14">
        <v>44879</v>
      </c>
      <c r="F204" s="13" t="s">
        <v>13</v>
      </c>
      <c r="G204" s="13" t="s">
        <v>14</v>
      </c>
      <c r="H204" s="13" t="s">
        <v>19</v>
      </c>
      <c r="I204" s="15">
        <v>0.6</v>
      </c>
      <c r="J204" s="13">
        <v>6000</v>
      </c>
      <c r="K204" s="13">
        <v>30</v>
      </c>
      <c r="L204" s="15">
        <v>3600</v>
      </c>
    </row>
    <row r="205" spans="1:12" ht="14.4" x14ac:dyDescent="0.3">
      <c r="A205" s="13" t="s">
        <v>25</v>
      </c>
      <c r="B205" s="13" t="s">
        <v>26</v>
      </c>
      <c r="C205" s="13">
        <v>1189833</v>
      </c>
      <c r="D205" s="14">
        <v>44849</v>
      </c>
      <c r="E205" s="14">
        <v>44879</v>
      </c>
      <c r="F205" s="13" t="s">
        <v>13</v>
      </c>
      <c r="G205" s="13" t="s">
        <v>14</v>
      </c>
      <c r="H205" s="13" t="s">
        <v>20</v>
      </c>
      <c r="I205" s="15">
        <v>0.65</v>
      </c>
      <c r="J205" s="13">
        <v>6500</v>
      </c>
      <c r="K205" s="13">
        <v>30</v>
      </c>
      <c r="L205" s="15">
        <v>4225</v>
      </c>
    </row>
    <row r="206" spans="1:12" ht="14.4" x14ac:dyDescent="0.3">
      <c r="A206" s="13" t="s">
        <v>25</v>
      </c>
      <c r="B206" s="13" t="s">
        <v>26</v>
      </c>
      <c r="C206" s="13">
        <v>1189833</v>
      </c>
      <c r="D206" s="14">
        <v>44880</v>
      </c>
      <c r="E206" s="14">
        <v>44910</v>
      </c>
      <c r="F206" s="13" t="s">
        <v>13</v>
      </c>
      <c r="G206" s="13" t="s">
        <v>14</v>
      </c>
      <c r="H206" s="13" t="s">
        <v>15</v>
      </c>
      <c r="I206" s="15">
        <v>0.5</v>
      </c>
      <c r="J206" s="13">
        <v>8250</v>
      </c>
      <c r="K206" s="13">
        <v>30</v>
      </c>
      <c r="L206" s="15">
        <v>4125</v>
      </c>
    </row>
    <row r="207" spans="1:12" ht="14.4" x14ac:dyDescent="0.3">
      <c r="A207" s="13" t="s">
        <v>25</v>
      </c>
      <c r="B207" s="13" t="s">
        <v>26</v>
      </c>
      <c r="C207" s="13">
        <v>1189833</v>
      </c>
      <c r="D207" s="14">
        <v>44880</v>
      </c>
      <c r="E207" s="14">
        <v>44910</v>
      </c>
      <c r="F207" s="13" t="s">
        <v>13</v>
      </c>
      <c r="G207" s="13" t="s">
        <v>14</v>
      </c>
      <c r="H207" s="13" t="s">
        <v>16</v>
      </c>
      <c r="I207" s="15">
        <v>0.55000000000000004</v>
      </c>
      <c r="J207" s="13">
        <v>8250</v>
      </c>
      <c r="K207" s="13">
        <v>30</v>
      </c>
      <c r="L207" s="15">
        <v>4537.5</v>
      </c>
    </row>
    <row r="208" spans="1:12" ht="14.4" x14ac:dyDescent="0.3">
      <c r="A208" s="13" t="s">
        <v>25</v>
      </c>
      <c r="B208" s="13" t="s">
        <v>26</v>
      </c>
      <c r="C208" s="13">
        <v>1189833</v>
      </c>
      <c r="D208" s="14">
        <v>44880</v>
      </c>
      <c r="E208" s="14">
        <v>44910</v>
      </c>
      <c r="F208" s="13" t="s">
        <v>13</v>
      </c>
      <c r="G208" s="13" t="s">
        <v>14</v>
      </c>
      <c r="H208" s="13" t="s">
        <v>17</v>
      </c>
      <c r="I208" s="15">
        <v>0.5</v>
      </c>
      <c r="J208" s="13">
        <v>6750</v>
      </c>
      <c r="K208" s="13">
        <v>30</v>
      </c>
      <c r="L208" s="15">
        <v>3375</v>
      </c>
    </row>
    <row r="209" spans="1:12" ht="14.4" x14ac:dyDescent="0.3">
      <c r="A209" s="13" t="s">
        <v>25</v>
      </c>
      <c r="B209" s="13" t="s">
        <v>26</v>
      </c>
      <c r="C209" s="13">
        <v>1189833</v>
      </c>
      <c r="D209" s="14">
        <v>44880</v>
      </c>
      <c r="E209" s="14">
        <v>44910</v>
      </c>
      <c r="F209" s="13" t="s">
        <v>13</v>
      </c>
      <c r="G209" s="13" t="s">
        <v>14</v>
      </c>
      <c r="H209" s="13" t="s">
        <v>18</v>
      </c>
      <c r="I209" s="15">
        <v>0.5</v>
      </c>
      <c r="J209" s="13">
        <v>6500</v>
      </c>
      <c r="K209" s="13">
        <v>30</v>
      </c>
      <c r="L209" s="15">
        <v>3250</v>
      </c>
    </row>
    <row r="210" spans="1:12" ht="14.4" x14ac:dyDescent="0.3">
      <c r="A210" s="13" t="s">
        <v>25</v>
      </c>
      <c r="B210" s="13" t="s">
        <v>26</v>
      </c>
      <c r="C210" s="13">
        <v>1189833</v>
      </c>
      <c r="D210" s="14">
        <v>44880</v>
      </c>
      <c r="E210" s="14">
        <v>44910</v>
      </c>
      <c r="F210" s="13" t="s">
        <v>13</v>
      </c>
      <c r="G210" s="13" t="s">
        <v>14</v>
      </c>
      <c r="H210" s="13" t="s">
        <v>19</v>
      </c>
      <c r="I210" s="15">
        <v>0.6</v>
      </c>
      <c r="J210" s="13">
        <v>6000</v>
      </c>
      <c r="K210" s="13">
        <v>30</v>
      </c>
      <c r="L210" s="15">
        <v>3600</v>
      </c>
    </row>
    <row r="211" spans="1:12" ht="14.4" x14ac:dyDescent="0.3">
      <c r="A211" s="13" t="s">
        <v>25</v>
      </c>
      <c r="B211" s="13" t="s">
        <v>26</v>
      </c>
      <c r="C211" s="13">
        <v>1189833</v>
      </c>
      <c r="D211" s="14">
        <v>44880</v>
      </c>
      <c r="E211" s="14">
        <v>44910</v>
      </c>
      <c r="F211" s="13" t="s">
        <v>13</v>
      </c>
      <c r="G211" s="13" t="s">
        <v>14</v>
      </c>
      <c r="H211" s="13" t="s">
        <v>20</v>
      </c>
      <c r="I211" s="15">
        <v>0.65</v>
      </c>
      <c r="J211" s="13">
        <v>7000</v>
      </c>
      <c r="K211" s="13">
        <v>30</v>
      </c>
      <c r="L211" s="15">
        <v>4550</v>
      </c>
    </row>
    <row r="212" spans="1:12" ht="14.4" x14ac:dyDescent="0.3">
      <c r="A212" s="13" t="s">
        <v>25</v>
      </c>
      <c r="B212" s="13" t="s">
        <v>26</v>
      </c>
      <c r="C212" s="13">
        <v>1189833</v>
      </c>
      <c r="D212" s="14">
        <v>44909</v>
      </c>
      <c r="E212" s="14">
        <v>44939</v>
      </c>
      <c r="F212" s="13" t="s">
        <v>13</v>
      </c>
      <c r="G212" s="13" t="s">
        <v>14</v>
      </c>
      <c r="H212" s="13" t="s">
        <v>15</v>
      </c>
      <c r="I212" s="15">
        <v>0.5</v>
      </c>
      <c r="J212" s="13">
        <v>9000</v>
      </c>
      <c r="K212" s="13">
        <v>30</v>
      </c>
      <c r="L212" s="15">
        <v>4500</v>
      </c>
    </row>
    <row r="213" spans="1:12" ht="14.4" x14ac:dyDescent="0.3">
      <c r="A213" s="13" t="s">
        <v>25</v>
      </c>
      <c r="B213" s="13" t="s">
        <v>26</v>
      </c>
      <c r="C213" s="13">
        <v>1189833</v>
      </c>
      <c r="D213" s="14">
        <v>44909</v>
      </c>
      <c r="E213" s="14">
        <v>44939</v>
      </c>
      <c r="F213" s="13" t="s">
        <v>13</v>
      </c>
      <c r="G213" s="13" t="s">
        <v>14</v>
      </c>
      <c r="H213" s="13" t="s">
        <v>16</v>
      </c>
      <c r="I213" s="15">
        <v>0.55000000000000004</v>
      </c>
      <c r="J213" s="13">
        <v>9000</v>
      </c>
      <c r="K213" s="13">
        <v>30</v>
      </c>
      <c r="L213" s="15">
        <v>4950</v>
      </c>
    </row>
    <row r="214" spans="1:12" ht="14.4" x14ac:dyDescent="0.3">
      <c r="A214" s="13" t="s">
        <v>25</v>
      </c>
      <c r="B214" s="13" t="s">
        <v>26</v>
      </c>
      <c r="C214" s="13">
        <v>1189833</v>
      </c>
      <c r="D214" s="14">
        <v>44909</v>
      </c>
      <c r="E214" s="14">
        <v>44939</v>
      </c>
      <c r="F214" s="13" t="s">
        <v>13</v>
      </c>
      <c r="G214" s="13" t="s">
        <v>14</v>
      </c>
      <c r="H214" s="13" t="s">
        <v>17</v>
      </c>
      <c r="I214" s="15">
        <v>0.5</v>
      </c>
      <c r="J214" s="13">
        <v>7000</v>
      </c>
      <c r="K214" s="13">
        <v>30</v>
      </c>
      <c r="L214" s="15">
        <v>3500</v>
      </c>
    </row>
    <row r="215" spans="1:12" ht="14.4" x14ac:dyDescent="0.3">
      <c r="A215" s="13" t="s">
        <v>25</v>
      </c>
      <c r="B215" s="13" t="s">
        <v>26</v>
      </c>
      <c r="C215" s="13">
        <v>1189833</v>
      </c>
      <c r="D215" s="14">
        <v>44909</v>
      </c>
      <c r="E215" s="14">
        <v>44939</v>
      </c>
      <c r="F215" s="13" t="s">
        <v>13</v>
      </c>
      <c r="G215" s="13" t="s">
        <v>14</v>
      </c>
      <c r="H215" s="13" t="s">
        <v>18</v>
      </c>
      <c r="I215" s="15">
        <v>0.5</v>
      </c>
      <c r="J215" s="13">
        <v>7000</v>
      </c>
      <c r="K215" s="13">
        <v>30</v>
      </c>
      <c r="L215" s="15">
        <v>3500</v>
      </c>
    </row>
    <row r="216" spans="1:12" ht="14.4" x14ac:dyDescent="0.3">
      <c r="A216" s="13" t="s">
        <v>25</v>
      </c>
      <c r="B216" s="13" t="s">
        <v>26</v>
      </c>
      <c r="C216" s="13">
        <v>1189833</v>
      </c>
      <c r="D216" s="14">
        <v>44909</v>
      </c>
      <c r="E216" s="14">
        <v>44939</v>
      </c>
      <c r="F216" s="13" t="s">
        <v>13</v>
      </c>
      <c r="G216" s="13" t="s">
        <v>14</v>
      </c>
      <c r="H216" s="13" t="s">
        <v>19</v>
      </c>
      <c r="I216" s="15">
        <v>0.6</v>
      </c>
      <c r="J216" s="13">
        <v>6250</v>
      </c>
      <c r="K216" s="13">
        <v>30</v>
      </c>
      <c r="L216" s="15">
        <v>3750</v>
      </c>
    </row>
    <row r="217" spans="1:12" ht="14.4" x14ac:dyDescent="0.3">
      <c r="A217" s="13" t="s">
        <v>25</v>
      </c>
      <c r="B217" s="13" t="s">
        <v>26</v>
      </c>
      <c r="C217" s="13">
        <v>1189833</v>
      </c>
      <c r="D217" s="14">
        <v>44909</v>
      </c>
      <c r="E217" s="14">
        <v>44939</v>
      </c>
      <c r="F217" s="13" t="s">
        <v>13</v>
      </c>
      <c r="G217" s="13" t="s">
        <v>14</v>
      </c>
      <c r="H217" s="13" t="s">
        <v>20</v>
      </c>
      <c r="I217" s="15">
        <v>0.65</v>
      </c>
      <c r="J217" s="13">
        <v>7250</v>
      </c>
      <c r="K217" s="13">
        <v>30</v>
      </c>
      <c r="L217" s="15">
        <v>4712.5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A5F69-C1FB-4F9B-94CA-F6BCDA7D5C2F}">
  <dimension ref="A1:B25"/>
  <sheetViews>
    <sheetView workbookViewId="0">
      <selection activeCell="A6" sqref="A6"/>
    </sheetView>
  </sheetViews>
  <sheetFormatPr defaultRowHeight="14.4" x14ac:dyDescent="0.3"/>
  <cols>
    <col min="1" max="1" width="11.21875" customWidth="1"/>
    <col min="2" max="2" width="15.109375" bestFit="1" customWidth="1"/>
    <col min="3" max="3" width="12.109375" customWidth="1"/>
    <col min="4" max="4" width="9.88671875" customWidth="1"/>
    <col min="5" max="5" width="9.44140625" customWidth="1"/>
    <col min="6" max="6" width="10.109375" customWidth="1"/>
    <col min="7" max="7" width="9.44140625" customWidth="1"/>
    <col min="8" max="8" width="11.6640625" customWidth="1"/>
  </cols>
  <sheetData>
    <row r="1" spans="1:2" x14ac:dyDescent="0.3">
      <c r="A1" s="9" t="s">
        <v>31</v>
      </c>
      <c r="B1" s="9" t="s">
        <v>33</v>
      </c>
    </row>
    <row r="2" spans="1:2" x14ac:dyDescent="0.3">
      <c r="A2" s="10" t="s">
        <v>11</v>
      </c>
      <c r="B2" s="11">
        <v>331750</v>
      </c>
    </row>
    <row r="3" spans="1:2" x14ac:dyDescent="0.3">
      <c r="A3" s="10" t="s">
        <v>25</v>
      </c>
      <c r="B3" s="11">
        <v>250650</v>
      </c>
    </row>
    <row r="4" spans="1:2" x14ac:dyDescent="0.3">
      <c r="A4" s="10" t="s">
        <v>21</v>
      </c>
      <c r="B4" s="11">
        <v>238850</v>
      </c>
    </row>
    <row r="5" spans="1:2" x14ac:dyDescent="0.3">
      <c r="A5" s="10" t="s">
        <v>27</v>
      </c>
      <c r="B5" s="11">
        <v>821250</v>
      </c>
    </row>
    <row r="25" spans="2:2" ht="19.2" x14ac:dyDescent="0.6">
      <c r="B25" s="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D51B-BDC5-4691-984D-F0B8E609A04F}">
  <dimension ref="A1:B10"/>
  <sheetViews>
    <sheetView workbookViewId="0">
      <selection activeCell="A11" sqref="A11"/>
    </sheetView>
  </sheetViews>
  <sheetFormatPr defaultRowHeight="14.4" x14ac:dyDescent="0.3"/>
  <cols>
    <col min="1" max="1" width="18.33203125" bestFit="1" customWidth="1"/>
    <col min="2" max="2" width="16.6640625" bestFit="1" customWidth="1"/>
  </cols>
  <sheetData>
    <row r="1" spans="1:2" x14ac:dyDescent="0.3">
      <c r="A1" s="9" t="s">
        <v>0</v>
      </c>
      <c r="B1" s="9" t="s">
        <v>30</v>
      </c>
    </row>
    <row r="2" spans="1:2" x14ac:dyDescent="0.3">
      <c r="A2" s="7"/>
      <c r="B2" s="7"/>
    </row>
    <row r="3" spans="1:2" x14ac:dyDescent="0.3">
      <c r="A3" s="9" t="s">
        <v>34</v>
      </c>
      <c r="B3" s="9" t="s">
        <v>29</v>
      </c>
    </row>
    <row r="4" spans="1:2" x14ac:dyDescent="0.3">
      <c r="A4" s="10" t="s">
        <v>15</v>
      </c>
      <c r="B4" s="12">
        <v>316000</v>
      </c>
    </row>
    <row r="5" spans="1:2" x14ac:dyDescent="0.3">
      <c r="A5" s="10" t="s">
        <v>16</v>
      </c>
      <c r="B5" s="12">
        <v>297000</v>
      </c>
    </row>
    <row r="6" spans="1:2" x14ac:dyDescent="0.3">
      <c r="A6" s="10" t="s">
        <v>17</v>
      </c>
      <c r="B6" s="12">
        <v>272500</v>
      </c>
    </row>
    <row r="7" spans="1:2" x14ac:dyDescent="0.3">
      <c r="A7" s="10" t="s">
        <v>20</v>
      </c>
      <c r="B7" s="12">
        <v>271750</v>
      </c>
    </row>
    <row r="8" spans="1:2" x14ac:dyDescent="0.3">
      <c r="A8" s="10" t="s">
        <v>18</v>
      </c>
      <c r="B8" s="12">
        <v>233500</v>
      </c>
    </row>
    <row r="9" spans="1:2" x14ac:dyDescent="0.3">
      <c r="A9" s="10" t="s">
        <v>19</v>
      </c>
      <c r="B9" s="12">
        <v>212500</v>
      </c>
    </row>
    <row r="10" spans="1:2" x14ac:dyDescent="0.3">
      <c r="A10" s="10" t="s">
        <v>27</v>
      </c>
      <c r="B10" s="12">
        <v>1603250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65B9-E826-4BFC-8B7B-F4222613F3BA}">
  <dimension ref="A1:C2"/>
  <sheetViews>
    <sheetView workbookViewId="0">
      <selection activeCell="A3" sqref="A3"/>
    </sheetView>
  </sheetViews>
  <sheetFormatPr defaultRowHeight="14.4" x14ac:dyDescent="0.3"/>
  <cols>
    <col min="1" max="1" width="15" bestFit="1" customWidth="1"/>
    <col min="2" max="2" width="17.6640625" bestFit="1" customWidth="1"/>
    <col min="3" max="3" width="33.6640625" bestFit="1" customWidth="1"/>
  </cols>
  <sheetData>
    <row r="1" spans="1:3" ht="15.6" x14ac:dyDescent="0.3">
      <c r="A1" s="16" t="s">
        <v>28</v>
      </c>
      <c r="B1" s="16" t="s">
        <v>29</v>
      </c>
      <c r="C1" s="16" t="s">
        <v>35</v>
      </c>
    </row>
    <row r="2" spans="1:3" ht="15.6" x14ac:dyDescent="0.3">
      <c r="A2" s="17">
        <v>821250</v>
      </c>
      <c r="B2" s="18">
        <v>1603250</v>
      </c>
      <c r="C2" s="19">
        <v>30.578703703703702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EB41-951F-442F-9432-B0C16EDAAF2E}">
  <dimension ref="A1:Z55"/>
  <sheetViews>
    <sheetView tabSelected="1" zoomScale="90" zoomScaleNormal="90" workbookViewId="0">
      <selection sqref="A1:Z5"/>
    </sheetView>
  </sheetViews>
  <sheetFormatPr defaultRowHeight="14.4" x14ac:dyDescent="0.3"/>
  <cols>
    <col min="1" max="1" width="8.88671875" style="2" customWidth="1"/>
    <col min="2" max="16384" width="8.88671875" style="2"/>
  </cols>
  <sheetData>
    <row r="1" spans="1:26" customFormat="1" ht="13.8" customHeight="1" x14ac:dyDescent="0.3">
      <c r="A1" s="8" t="s">
        <v>36</v>
      </c>
      <c r="B1" s="6"/>
      <c r="C1" s="6"/>
      <c r="D1" s="6"/>
      <c r="E1" s="6"/>
      <c r="F1" s="6"/>
      <c r="G1" s="6"/>
      <c r="H1" s="6"/>
      <c r="I1" s="6"/>
      <c r="J1" s="6"/>
      <c r="K1" s="6"/>
      <c r="L1" s="6"/>
      <c r="M1" s="6"/>
      <c r="N1" s="6"/>
      <c r="O1" s="6"/>
      <c r="P1" s="6"/>
      <c r="Q1" s="6"/>
      <c r="R1" s="6"/>
      <c r="S1" s="6"/>
      <c r="T1" s="6"/>
      <c r="U1" s="6"/>
      <c r="V1" s="6"/>
      <c r="W1" s="6"/>
      <c r="X1" s="6"/>
      <c r="Y1" s="6"/>
      <c r="Z1" s="6"/>
    </row>
    <row r="2" spans="1:26" customFormat="1" ht="13.8" customHeight="1" x14ac:dyDescent="0.3">
      <c r="A2" s="6"/>
      <c r="B2" s="6"/>
      <c r="C2" s="6"/>
      <c r="D2" s="6"/>
      <c r="E2" s="6"/>
      <c r="F2" s="6"/>
      <c r="G2" s="6"/>
      <c r="H2" s="6"/>
      <c r="I2" s="6"/>
      <c r="J2" s="6"/>
      <c r="K2" s="6"/>
      <c r="L2" s="6"/>
      <c r="M2" s="6"/>
      <c r="N2" s="6"/>
      <c r="O2" s="6"/>
      <c r="P2" s="6"/>
      <c r="Q2" s="6"/>
      <c r="R2" s="6"/>
      <c r="S2" s="6"/>
      <c r="T2" s="6"/>
      <c r="U2" s="6"/>
      <c r="V2" s="6"/>
      <c r="W2" s="6"/>
      <c r="X2" s="6"/>
      <c r="Y2" s="6"/>
      <c r="Z2" s="6"/>
    </row>
    <row r="3" spans="1:26" customFormat="1" ht="13.8" customHeight="1" x14ac:dyDescent="0.3">
      <c r="A3" s="6"/>
      <c r="B3" s="6"/>
      <c r="C3" s="6"/>
      <c r="D3" s="6"/>
      <c r="E3" s="6"/>
      <c r="F3" s="6"/>
      <c r="G3" s="6"/>
      <c r="H3" s="6"/>
      <c r="I3" s="6"/>
      <c r="J3" s="6"/>
      <c r="K3" s="6"/>
      <c r="L3" s="6"/>
      <c r="M3" s="6"/>
      <c r="N3" s="6"/>
      <c r="O3" s="6"/>
      <c r="P3" s="6"/>
      <c r="Q3" s="6"/>
      <c r="R3" s="6"/>
      <c r="S3" s="6"/>
      <c r="T3" s="6"/>
      <c r="U3" s="6"/>
      <c r="V3" s="6"/>
      <c r="W3" s="6"/>
      <c r="X3" s="6"/>
      <c r="Y3" s="6"/>
      <c r="Z3" s="6"/>
    </row>
    <row r="4" spans="1:26" customFormat="1" ht="13.8" customHeight="1" x14ac:dyDescent="0.3">
      <c r="A4" s="6"/>
      <c r="B4" s="6"/>
      <c r="C4" s="6"/>
      <c r="D4" s="6"/>
      <c r="E4" s="6"/>
      <c r="F4" s="6"/>
      <c r="G4" s="6"/>
      <c r="H4" s="6"/>
      <c r="I4" s="6"/>
      <c r="J4" s="6"/>
      <c r="K4" s="6"/>
      <c r="L4" s="6"/>
      <c r="M4" s="6"/>
      <c r="N4" s="6"/>
      <c r="O4" s="6"/>
      <c r="P4" s="6"/>
      <c r="Q4" s="6"/>
      <c r="R4" s="6"/>
      <c r="S4" s="6"/>
      <c r="T4" s="6"/>
      <c r="U4" s="6"/>
      <c r="V4" s="6"/>
      <c r="W4" s="6"/>
      <c r="X4" s="6"/>
      <c r="Y4" s="6"/>
      <c r="Z4" s="6"/>
    </row>
    <row r="5" spans="1:26" customFormat="1" ht="11.4" customHeight="1" x14ac:dyDescent="0.3">
      <c r="A5" s="6"/>
      <c r="B5" s="6"/>
      <c r="C5" s="6"/>
      <c r="D5" s="6"/>
      <c r="E5" s="6"/>
      <c r="F5" s="6"/>
      <c r="G5" s="6"/>
      <c r="H5" s="6"/>
      <c r="I5" s="6"/>
      <c r="J5" s="6"/>
      <c r="K5" s="6"/>
      <c r="L5" s="6"/>
      <c r="M5" s="6"/>
      <c r="N5" s="6"/>
      <c r="O5" s="6"/>
      <c r="P5" s="6"/>
      <c r="Q5" s="6"/>
      <c r="R5" s="6"/>
      <c r="S5" s="6"/>
      <c r="T5" s="6"/>
      <c r="U5" s="6"/>
      <c r="V5" s="6"/>
      <c r="W5" s="6"/>
      <c r="X5" s="6"/>
      <c r="Y5" s="6"/>
      <c r="Z5" s="6"/>
    </row>
    <row r="6" spans="1:26" ht="19.8" customHeight="1"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3">
      <c r="X53" s="5"/>
      <c r="Y53" s="5"/>
      <c r="Z53" s="5"/>
    </row>
    <row r="54" spans="1:26" x14ac:dyDescent="0.3">
      <c r="X54" s="5"/>
      <c r="Y54" s="5"/>
      <c r="Z54" s="5"/>
    </row>
    <row r="55" spans="1:26" x14ac:dyDescent="0.3">
      <c r="X55" s="5"/>
      <c r="Y55" s="5"/>
      <c r="Z55" s="5"/>
    </row>
  </sheetData>
  <mergeCells count="1">
    <mergeCell ref="A1: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BF03D9-05A8-475A-96DA-05A84F5AAD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Retailers</vt:lpstr>
      <vt:lpstr>Total Sales per retailers</vt:lpstr>
      <vt:lpstr>Units Sold per beverage brands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tyseer elsayed</dc:creator>
  <cp:lastModifiedBy>tyseer elsayed</cp:lastModifiedBy>
  <dcterms:created xsi:type="dcterms:W3CDTF">2026-01-25T19:19:45Z</dcterms:created>
  <dcterms:modified xsi:type="dcterms:W3CDTF">2026-02-07T20:53:29Z</dcterms:modified>
</cp:coreProperties>
</file>